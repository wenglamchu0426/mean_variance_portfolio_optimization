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englamchu/Documents/"/>
    </mc:Choice>
  </mc:AlternateContent>
  <xr:revisionPtr revIDLastSave="0" documentId="13_ncr:1_{FFB830CC-C782-3C49-A70E-209CC196E807}" xr6:coauthVersionLast="47" xr6:coauthVersionMax="47" xr10:uidLastSave="{00000000-0000-0000-0000-000000000000}"/>
  <bookViews>
    <workbookView xWindow="-38400" yWindow="-480" windowWidth="38400" windowHeight="20980" xr2:uid="{37469F41-68CC-314E-BD7A-F88EF3E752E2}"/>
  </bookViews>
  <sheets>
    <sheet name="Industries_" sheetId="10" r:id="rId1"/>
  </sheets>
  <definedNames>
    <definedName name="__xlchart.v1.0" hidden="1">Industries_!$R$552</definedName>
    <definedName name="__xlchart.v1.1" hidden="1">Industries_!$R$56:$R$556</definedName>
    <definedName name="__xlchart.v1.10" hidden="1">Industries_!$R$56:$R$556</definedName>
    <definedName name="__xlchart.v1.11" hidden="1">Industries_!$S$56:$S$556</definedName>
    <definedName name="__xlchart.v1.12" hidden="1">Industries_!$R$552</definedName>
    <definedName name="__xlchart.v1.13" hidden="1">Industries_!$R$56:$R$556</definedName>
    <definedName name="__xlchart.v1.14" hidden="1">Industries_!$S$56:$S$556</definedName>
    <definedName name="__xlchart.v1.2" hidden="1">Industries_!$S$56:$S$556</definedName>
    <definedName name="__xlchart.v1.3" hidden="1">Industries_!$R$552</definedName>
    <definedName name="__xlchart.v1.4" hidden="1">Industries_!$R$56:$R$556</definedName>
    <definedName name="__xlchart.v1.5" hidden="1">Industries_!$S$56:$S$556</definedName>
    <definedName name="__xlchart.v1.6" hidden="1">Industries_!$R$552</definedName>
    <definedName name="__xlchart.v1.7" hidden="1">Industries_!$R$56:$R$556</definedName>
    <definedName name="__xlchart.v1.8" hidden="1">Industries_!$S$56:$S$556</definedName>
    <definedName name="__xlchart.v1.9" hidden="1">Industries_!$R$552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10" l="1"/>
  <c r="N13" i="10" s="1"/>
  <c r="Q11" i="10"/>
  <c r="N14" i="10" s="1"/>
  <c r="Q13" i="10"/>
  <c r="P14" i="10" s="1"/>
  <c r="Q12" i="10"/>
  <c r="O14" i="10" s="1"/>
  <c r="P12" i="10"/>
  <c r="O13" i="10" s="1"/>
  <c r="O11" i="10"/>
  <c r="N12" i="10" s="1"/>
  <c r="Q14" i="10"/>
  <c r="P13" i="10"/>
  <c r="O12" i="10"/>
  <c r="N11" i="10"/>
  <c r="Q10" i="10"/>
  <c r="M14" i="10" s="1"/>
  <c r="P10" i="10"/>
  <c r="M13" i="10" s="1"/>
  <c r="O10" i="10"/>
  <c r="M12" i="10" s="1"/>
  <c r="N10" i="10"/>
  <c r="M11" i="10" s="1"/>
  <c r="Q9" i="10"/>
  <c r="L14" i="10" s="1"/>
  <c r="P9" i="10"/>
  <c r="L13" i="10" s="1"/>
  <c r="O9" i="10"/>
  <c r="L12" i="10" s="1"/>
  <c r="N9" i="10"/>
  <c r="L11" i="10" s="1"/>
  <c r="M10" i="10"/>
  <c r="M9" i="10"/>
  <c r="L10" i="10" s="1"/>
  <c r="Q8" i="10"/>
  <c r="K14" i="10" s="1"/>
  <c r="P8" i="10"/>
  <c r="K13" i="10" s="1"/>
  <c r="O8" i="10"/>
  <c r="K12" i="10" s="1"/>
  <c r="N8" i="10"/>
  <c r="K11" i="10" s="1"/>
  <c r="M8" i="10"/>
  <c r="K10" i="10" s="1"/>
  <c r="L9" i="10"/>
  <c r="L8" i="10"/>
  <c r="K8" i="10"/>
  <c r="P57" i="10"/>
  <c r="Q56" i="10"/>
  <c r="O2" i="10"/>
  <c r="L31" i="10" s="1"/>
  <c r="Q2" i="10"/>
  <c r="L33" i="10" s="1"/>
  <c r="L3" i="10"/>
  <c r="M3" i="10"/>
  <c r="N3" i="10"/>
  <c r="O3" i="10"/>
  <c r="P3" i="10"/>
  <c r="Q3" i="10"/>
  <c r="K3" i="10"/>
  <c r="L2" i="10"/>
  <c r="L28" i="10" s="1"/>
  <c r="M2" i="10"/>
  <c r="L29" i="10" s="1"/>
  <c r="N2" i="10"/>
  <c r="L30" i="10" s="1"/>
  <c r="P2" i="10"/>
  <c r="L32" i="10" s="1"/>
  <c r="K2" i="10"/>
  <c r="P58" i="10" l="1"/>
  <c r="Q57" i="10"/>
  <c r="L27" i="10"/>
  <c r="K9" i="10"/>
  <c r="K18" i="10" a="1"/>
  <c r="K18" i="10" l="1"/>
  <c r="P59" i="10"/>
  <c r="Q58" i="10"/>
  <c r="L36" i="10" l="1" a="1"/>
  <c r="K36" i="10" a="1"/>
  <c r="P60" i="10"/>
  <c r="Q59" i="10"/>
  <c r="L36" i="10" l="1"/>
  <c r="L43" i="10" s="1"/>
  <c r="K36" i="10"/>
  <c r="Q60" i="10"/>
  <c r="P61" i="10"/>
  <c r="M46" i="10" l="1"/>
  <c r="M52" i="10"/>
  <c r="N52" i="10" s="1"/>
  <c r="V47" i="10" s="1"/>
  <c r="M51" i="10"/>
  <c r="N51" i="10" s="1"/>
  <c r="U47" i="10" s="1"/>
  <c r="M50" i="10"/>
  <c r="N50" i="10" s="1"/>
  <c r="T47" i="10" s="1"/>
  <c r="M49" i="10"/>
  <c r="N49" i="10" s="1"/>
  <c r="S47" i="10" s="1"/>
  <c r="M48" i="10"/>
  <c r="N48" i="10" s="1"/>
  <c r="R47" i="10" s="1"/>
  <c r="M47" i="10"/>
  <c r="N47" i="10" s="1"/>
  <c r="Q47" i="10" s="1"/>
  <c r="K43" i="10"/>
  <c r="K46" i="10"/>
  <c r="Q61" i="10"/>
  <c r="P62" i="10"/>
  <c r="L46" i="10"/>
  <c r="K47" i="10" l="1"/>
  <c r="K52" i="10"/>
  <c r="L52" i="10" s="1"/>
  <c r="V46" i="10" s="1"/>
  <c r="K48" i="10"/>
  <c r="L48" i="10" s="1"/>
  <c r="R46" i="10" s="1"/>
  <c r="K49" i="10"/>
  <c r="L49" i="10" s="1"/>
  <c r="S46" i="10" s="1"/>
  <c r="K50" i="10"/>
  <c r="L50" i="10" s="1"/>
  <c r="T46" i="10" s="1"/>
  <c r="K51" i="10"/>
  <c r="L51" i="10" s="1"/>
  <c r="U46" i="10" s="1"/>
  <c r="N46" i="10"/>
  <c r="N55" i="10" a="1"/>
  <c r="N55" i="10" s="1"/>
  <c r="N53" i="10"/>
  <c r="P47" i="10"/>
  <c r="N56" i="10" s="1" a="1"/>
  <c r="N56" i="10" s="1"/>
  <c r="N57" i="10" s="1"/>
  <c r="N58" i="10" s="1"/>
  <c r="P63" i="10"/>
  <c r="Q62" i="10"/>
  <c r="P46" i="10"/>
  <c r="L55" i="10" l="1" a="1"/>
  <c r="L55" i="10" s="1"/>
  <c r="R63" i="10" s="1"/>
  <c r="K53" i="10"/>
  <c r="L47" i="10"/>
  <c r="Q63" i="10"/>
  <c r="P64" i="10"/>
  <c r="R60" i="10" l="1"/>
  <c r="R59" i="10"/>
  <c r="R58" i="10"/>
  <c r="R57" i="10"/>
  <c r="R56" i="10"/>
  <c r="R61" i="10"/>
  <c r="R62" i="10"/>
  <c r="L53" i="10"/>
  <c r="Q46" i="10"/>
  <c r="P65" i="10"/>
  <c r="Q64" i="10"/>
  <c r="L56" i="10" l="1" a="1"/>
  <c r="L56" i="10" s="1"/>
  <c r="L60" i="10" a="1"/>
  <c r="L60" i="10" s="1"/>
  <c r="R65" i="10"/>
  <c r="R64" i="10"/>
  <c r="P66" i="10"/>
  <c r="Q65" i="10"/>
  <c r="S59" i="10" l="1"/>
  <c r="L57" i="10"/>
  <c r="L58" i="10" s="1"/>
  <c r="S56" i="10"/>
  <c r="S57" i="10"/>
  <c r="S58" i="10"/>
  <c r="S60" i="10"/>
  <c r="S61" i="10"/>
  <c r="S62" i="10"/>
  <c r="S63" i="10"/>
  <c r="S64" i="10"/>
  <c r="S65" i="10"/>
  <c r="Q66" i="10"/>
  <c r="P67" i="10"/>
  <c r="R66" i="10" l="1"/>
  <c r="S66" i="10"/>
  <c r="Q67" i="10"/>
  <c r="P68" i="10"/>
  <c r="S67" i="10" l="1"/>
  <c r="R67" i="10"/>
  <c r="P69" i="10"/>
  <c r="Q68" i="10"/>
  <c r="S68" i="10" l="1"/>
  <c r="R68" i="10"/>
  <c r="Q69" i="10"/>
  <c r="P70" i="10"/>
  <c r="R69" i="10" l="1"/>
  <c r="S69" i="10"/>
  <c r="Q70" i="10"/>
  <c r="P71" i="10"/>
  <c r="R70" i="10" l="1"/>
  <c r="S70" i="10"/>
  <c r="Q71" i="10"/>
  <c r="P72" i="10"/>
  <c r="S71" i="10" l="1"/>
  <c r="R71" i="10"/>
  <c r="Q72" i="10"/>
  <c r="P73" i="10"/>
  <c r="R72" i="10" l="1"/>
  <c r="S72" i="10"/>
  <c r="P74" i="10"/>
  <c r="Q73" i="10"/>
  <c r="R73" i="10" l="1"/>
  <c r="S73" i="10"/>
  <c r="Q74" i="10"/>
  <c r="P75" i="10"/>
  <c r="S74" i="10" l="1"/>
  <c r="R74" i="10"/>
  <c r="Q75" i="10"/>
  <c r="P76" i="10"/>
  <c r="R75" i="10" l="1"/>
  <c r="S75" i="10"/>
  <c r="Q76" i="10"/>
  <c r="P77" i="10"/>
  <c r="S76" i="10" l="1"/>
  <c r="R76" i="10"/>
  <c r="R77" i="10"/>
  <c r="Q77" i="10"/>
  <c r="S77" i="10" s="1"/>
  <c r="P78" i="10"/>
  <c r="Q78" i="10" l="1"/>
  <c r="P79" i="10"/>
  <c r="R78" i="10" l="1"/>
  <c r="S78" i="10"/>
  <c r="P80" i="10"/>
  <c r="Q79" i="10"/>
  <c r="R79" i="10" l="1"/>
  <c r="S79" i="10"/>
  <c r="Q80" i="10"/>
  <c r="P81" i="10"/>
  <c r="S80" i="10" l="1"/>
  <c r="R80" i="10"/>
  <c r="R81" i="10"/>
  <c r="Q81" i="10"/>
  <c r="S81" i="10" s="1"/>
  <c r="P82" i="10"/>
  <c r="P83" i="10" l="1"/>
  <c r="Q82" i="10"/>
  <c r="S82" i="10" l="1"/>
  <c r="R82" i="10"/>
  <c r="Q83" i="10"/>
  <c r="P84" i="10"/>
  <c r="R83" i="10" l="1"/>
  <c r="S83" i="10"/>
  <c r="P85" i="10"/>
  <c r="Q84" i="10"/>
  <c r="R85" i="10" l="1"/>
  <c r="S85" i="10"/>
  <c r="R84" i="10"/>
  <c r="S84" i="10"/>
  <c r="P86" i="10"/>
  <c r="Q85" i="10"/>
  <c r="P87" i="10" l="1"/>
  <c r="Q86" i="10"/>
  <c r="S86" i="10" l="1"/>
  <c r="R86" i="10"/>
  <c r="Q87" i="10"/>
  <c r="P88" i="10"/>
  <c r="R87" i="10" l="1"/>
  <c r="S87" i="10"/>
  <c r="Q88" i="10"/>
  <c r="P89" i="10"/>
  <c r="S88" i="10" l="1"/>
  <c r="R88" i="10"/>
  <c r="P90" i="10"/>
  <c r="Q89" i="10"/>
  <c r="R89" i="10" l="1"/>
  <c r="S89" i="10"/>
  <c r="P91" i="10"/>
  <c r="Q90" i="10"/>
  <c r="S90" i="10" l="1"/>
  <c r="R90" i="10"/>
  <c r="Q91" i="10"/>
  <c r="P92" i="10"/>
  <c r="S91" i="10" l="1"/>
  <c r="R91" i="10"/>
  <c r="P93" i="10"/>
  <c r="Q92" i="10"/>
  <c r="R92" i="10" l="1"/>
  <c r="S92" i="10"/>
  <c r="S93" i="10"/>
  <c r="R93" i="10"/>
  <c r="P94" i="10"/>
  <c r="Q93" i="10"/>
  <c r="R94" i="10" l="1"/>
  <c r="S94" i="10"/>
  <c r="P95" i="10"/>
  <c r="Q94" i="10"/>
  <c r="Q95" i="10" l="1"/>
  <c r="P96" i="10"/>
  <c r="S95" i="10" l="1"/>
  <c r="R95" i="10"/>
  <c r="R96" i="10"/>
  <c r="S96" i="10"/>
  <c r="P97" i="10"/>
  <c r="Q96" i="10"/>
  <c r="Q97" i="10" l="1"/>
  <c r="P98" i="10"/>
  <c r="S97" i="10" l="1"/>
  <c r="R97" i="10"/>
  <c r="Q98" i="10"/>
  <c r="P99" i="10"/>
  <c r="R98" i="10" l="1"/>
  <c r="S98" i="10"/>
  <c r="Q99" i="10"/>
  <c r="P100" i="10"/>
  <c r="S99" i="10" l="1"/>
  <c r="R99" i="10"/>
  <c r="Q100" i="10"/>
  <c r="P101" i="10"/>
  <c r="S100" i="10" l="1"/>
  <c r="R100" i="10"/>
  <c r="P102" i="10"/>
  <c r="Q101" i="10"/>
  <c r="S101" i="10" l="1"/>
  <c r="R101" i="10"/>
  <c r="P103" i="10"/>
  <c r="Q102" i="10"/>
  <c r="S102" i="10" l="1"/>
  <c r="R102" i="10"/>
  <c r="P104" i="10"/>
  <c r="Q103" i="10"/>
  <c r="S104" i="10" l="1"/>
  <c r="R104" i="10"/>
  <c r="R103" i="10"/>
  <c r="S103" i="10"/>
  <c r="P105" i="10"/>
  <c r="Q104" i="10"/>
  <c r="P106" i="10" l="1"/>
  <c r="Q105" i="10"/>
  <c r="R105" i="10" l="1"/>
  <c r="S105" i="10"/>
  <c r="Q106" i="10"/>
  <c r="P107" i="10"/>
  <c r="S106" i="10" l="1"/>
  <c r="R106" i="10"/>
  <c r="P108" i="10"/>
  <c r="Q107" i="10"/>
  <c r="S107" i="10" l="1"/>
  <c r="R107" i="10"/>
  <c r="Q108" i="10"/>
  <c r="P109" i="10"/>
  <c r="R108" i="10" l="1"/>
  <c r="S108" i="10"/>
  <c r="Q109" i="10"/>
  <c r="P110" i="10"/>
  <c r="S109" i="10" l="1"/>
  <c r="R109" i="10"/>
  <c r="S110" i="10"/>
  <c r="P111" i="10"/>
  <c r="Q110" i="10"/>
  <c r="R110" i="10" s="1"/>
  <c r="S111" i="10" l="1"/>
  <c r="R111" i="10"/>
  <c r="P112" i="10"/>
  <c r="Q111" i="10"/>
  <c r="P113" i="10" l="1"/>
  <c r="Q112" i="10"/>
  <c r="R112" i="10" l="1"/>
  <c r="S112" i="10"/>
  <c r="R113" i="10"/>
  <c r="Q113" i="10"/>
  <c r="S113" i="10" s="1"/>
  <c r="P114" i="10"/>
  <c r="Q114" i="10" l="1"/>
  <c r="P115" i="10"/>
  <c r="R114" i="10" l="1"/>
  <c r="S114" i="10"/>
  <c r="S115" i="10"/>
  <c r="Q115" i="10"/>
  <c r="R115" i="10" s="1"/>
  <c r="P116" i="10"/>
  <c r="Q116" i="10" l="1"/>
  <c r="P117" i="10"/>
  <c r="S116" i="10" l="1"/>
  <c r="R116" i="10"/>
  <c r="S117" i="10"/>
  <c r="P118" i="10"/>
  <c r="Q117" i="10"/>
  <c r="R117" i="10" s="1"/>
  <c r="P119" i="10" l="1"/>
  <c r="Q118" i="10"/>
  <c r="S118" i="10" l="1"/>
  <c r="R118" i="10"/>
  <c r="P120" i="10"/>
  <c r="Q119" i="10"/>
  <c r="S119" i="10" l="1"/>
  <c r="R119" i="10"/>
  <c r="Q120" i="10"/>
  <c r="P121" i="10"/>
  <c r="S120" i="10" l="1"/>
  <c r="R120" i="10"/>
  <c r="P122" i="10"/>
  <c r="Q121" i="10"/>
  <c r="R121" i="10" l="1"/>
  <c r="S121" i="10"/>
  <c r="Q122" i="10"/>
  <c r="P123" i="10"/>
  <c r="S122" i="10" l="1"/>
  <c r="R122" i="10"/>
  <c r="Q123" i="10"/>
  <c r="P124" i="10"/>
  <c r="S123" i="10" l="1"/>
  <c r="R123" i="10"/>
  <c r="Q124" i="10"/>
  <c r="P125" i="10"/>
  <c r="S124" i="10" l="1"/>
  <c r="R124" i="10"/>
  <c r="P126" i="10"/>
  <c r="Q125" i="10"/>
  <c r="S125" i="10" l="1"/>
  <c r="R125" i="10"/>
  <c r="Q126" i="10"/>
  <c r="P127" i="10"/>
  <c r="R126" i="10" l="1"/>
  <c r="S126" i="10"/>
  <c r="P128" i="10"/>
  <c r="Q127" i="10"/>
  <c r="S127" i="10" l="1"/>
  <c r="R127" i="10"/>
  <c r="Q128" i="10"/>
  <c r="P129" i="10"/>
  <c r="S128" i="10" l="1"/>
  <c r="R128" i="10"/>
  <c r="Q129" i="10"/>
  <c r="P130" i="10"/>
  <c r="S129" i="10" l="1"/>
  <c r="R129" i="10"/>
  <c r="R130" i="10"/>
  <c r="Q130" i="10"/>
  <c r="S130" i="10" s="1"/>
  <c r="P131" i="10"/>
  <c r="S131" i="10" l="1"/>
  <c r="R131" i="10"/>
  <c r="P132" i="10"/>
  <c r="Q131" i="10"/>
  <c r="Q132" i="10" l="1"/>
  <c r="P133" i="10"/>
  <c r="R132" i="10" l="1"/>
  <c r="S132" i="10"/>
  <c r="S133" i="10"/>
  <c r="P134" i="10"/>
  <c r="Q133" i="10"/>
  <c r="R133" i="10" s="1"/>
  <c r="R134" i="10" l="1"/>
  <c r="P135" i="10"/>
  <c r="Q134" i="10"/>
  <c r="S134" i="10" s="1"/>
  <c r="Q135" i="10" l="1"/>
  <c r="P136" i="10"/>
  <c r="R135" i="10" l="1"/>
  <c r="S135" i="10"/>
  <c r="P137" i="10"/>
  <c r="Q136" i="10"/>
  <c r="R136" i="10" l="1"/>
  <c r="S136" i="10"/>
  <c r="Q137" i="10"/>
  <c r="P138" i="10"/>
  <c r="S137" i="10" l="1"/>
  <c r="R137" i="10"/>
  <c r="P139" i="10"/>
  <c r="Q138" i="10"/>
  <c r="S138" i="10" l="1"/>
  <c r="R138" i="10"/>
  <c r="P140" i="10"/>
  <c r="Q139" i="10"/>
  <c r="R139" i="10" l="1"/>
  <c r="S139" i="10"/>
  <c r="S140" i="10"/>
  <c r="R140" i="10"/>
  <c r="P141" i="10"/>
  <c r="Q140" i="10"/>
  <c r="S141" i="10" l="1"/>
  <c r="R141" i="10"/>
  <c r="P142" i="10"/>
  <c r="Q141" i="10"/>
  <c r="Q142" i="10" l="1"/>
  <c r="P143" i="10"/>
  <c r="S142" i="10" l="1"/>
  <c r="R142" i="10"/>
  <c r="R143" i="10"/>
  <c r="S143" i="10"/>
  <c r="P144" i="10"/>
  <c r="Q143" i="10"/>
  <c r="S144" i="10" l="1"/>
  <c r="R144" i="10"/>
  <c r="P145" i="10"/>
  <c r="Q144" i="10"/>
  <c r="R145" i="10" l="1"/>
  <c r="S145" i="10"/>
  <c r="P146" i="10"/>
  <c r="Q145" i="10"/>
  <c r="Q146" i="10" l="1"/>
  <c r="P147" i="10"/>
  <c r="R146" i="10" l="1"/>
  <c r="S146" i="10"/>
  <c r="Q147" i="10"/>
  <c r="P148" i="10"/>
  <c r="S147" i="10" l="1"/>
  <c r="R147" i="10"/>
  <c r="Q148" i="10"/>
  <c r="P149" i="10"/>
  <c r="S148" i="10" l="1"/>
  <c r="R148" i="10"/>
  <c r="Q149" i="10"/>
  <c r="P150" i="10"/>
  <c r="S149" i="10" l="1"/>
  <c r="R149" i="10"/>
  <c r="P151" i="10"/>
  <c r="Q150" i="10"/>
  <c r="R150" i="10" l="1"/>
  <c r="S150" i="10"/>
  <c r="Q151" i="10"/>
  <c r="P152" i="10"/>
  <c r="S151" i="10" l="1"/>
  <c r="R151" i="10"/>
  <c r="Q152" i="10"/>
  <c r="P153" i="10"/>
  <c r="S152" i="10" l="1"/>
  <c r="R152" i="10"/>
  <c r="S153" i="10"/>
  <c r="P154" i="10"/>
  <c r="Q153" i="10"/>
  <c r="R153" i="10" s="1"/>
  <c r="S154" i="10" l="1"/>
  <c r="R154" i="10"/>
  <c r="P155" i="10"/>
  <c r="Q154" i="10"/>
  <c r="Q155" i="10" l="1"/>
  <c r="P156" i="10"/>
  <c r="S155" i="10" l="1"/>
  <c r="R155" i="10"/>
  <c r="Q156" i="10"/>
  <c r="P157" i="10"/>
  <c r="S156" i="10" l="1"/>
  <c r="R156" i="10"/>
  <c r="Q157" i="10"/>
  <c r="P158" i="10"/>
  <c r="S157" i="10" l="1"/>
  <c r="R157" i="10"/>
  <c r="S158" i="10"/>
  <c r="P159" i="10"/>
  <c r="Q158" i="10"/>
  <c r="R158" i="10" s="1"/>
  <c r="Q159" i="10" l="1"/>
  <c r="P160" i="10"/>
  <c r="S159" i="10" l="1"/>
  <c r="R159" i="10"/>
  <c r="Q160" i="10"/>
  <c r="P161" i="10"/>
  <c r="S160" i="10" l="1"/>
  <c r="R160" i="10"/>
  <c r="S161" i="10"/>
  <c r="R161" i="10"/>
  <c r="P162" i="10"/>
  <c r="Q161" i="10"/>
  <c r="P163" i="10" l="1"/>
  <c r="Q162" i="10"/>
  <c r="R162" i="10" l="1"/>
  <c r="S162" i="10"/>
  <c r="P164" i="10"/>
  <c r="Q163" i="10"/>
  <c r="R163" i="10" l="1"/>
  <c r="S163" i="10"/>
  <c r="P165" i="10"/>
  <c r="Q164" i="10"/>
  <c r="R164" i="10" l="1"/>
  <c r="S164" i="10"/>
  <c r="Q165" i="10"/>
  <c r="P166" i="10"/>
  <c r="S165" i="10" l="1"/>
  <c r="R165" i="10"/>
  <c r="Q166" i="10"/>
  <c r="P167" i="10"/>
  <c r="S166" i="10" l="1"/>
  <c r="R166" i="10"/>
  <c r="Q167" i="10"/>
  <c r="P168" i="10"/>
  <c r="R167" i="10" l="1"/>
  <c r="S167" i="10"/>
  <c r="Q168" i="10"/>
  <c r="P169" i="10"/>
  <c r="R168" i="10" l="1"/>
  <c r="S168" i="10"/>
  <c r="P170" i="10"/>
  <c r="Q169" i="10"/>
  <c r="S169" i="10" l="1"/>
  <c r="R169" i="10"/>
  <c r="S170" i="10"/>
  <c r="R170" i="10"/>
  <c r="P171" i="10"/>
  <c r="Q170" i="10"/>
  <c r="P172" i="10" l="1"/>
  <c r="Q171" i="10"/>
  <c r="R171" i="10" l="1"/>
  <c r="S171" i="10"/>
  <c r="S172" i="10"/>
  <c r="R172" i="10"/>
  <c r="P173" i="10"/>
  <c r="Q172" i="10"/>
  <c r="R173" i="10" l="1"/>
  <c r="S173" i="10"/>
  <c r="P174" i="10"/>
  <c r="Q173" i="10"/>
  <c r="P175" i="10" l="1"/>
  <c r="Q174" i="10"/>
  <c r="R174" i="10" l="1"/>
  <c r="S174" i="10"/>
  <c r="Q175" i="10"/>
  <c r="P176" i="10"/>
  <c r="S175" i="10" l="1"/>
  <c r="R175" i="10"/>
  <c r="S176" i="10"/>
  <c r="R176" i="10"/>
  <c r="P177" i="10"/>
  <c r="Q176" i="10"/>
  <c r="R177" i="10" l="1"/>
  <c r="S177" i="10"/>
  <c r="P178" i="10"/>
  <c r="Q177" i="10"/>
  <c r="S178" i="10" l="1"/>
  <c r="R178" i="10"/>
  <c r="P179" i="10"/>
  <c r="Q178" i="10"/>
  <c r="Q179" i="10" l="1"/>
  <c r="P180" i="10"/>
  <c r="S179" i="10" l="1"/>
  <c r="R179" i="10"/>
  <c r="R180" i="10"/>
  <c r="S180" i="10"/>
  <c r="P181" i="10"/>
  <c r="Q180" i="10"/>
  <c r="Q181" i="10" l="1"/>
  <c r="P182" i="10"/>
  <c r="S181" i="10" l="1"/>
  <c r="R181" i="10"/>
  <c r="Q182" i="10"/>
  <c r="P183" i="10"/>
  <c r="R182" i="10" l="1"/>
  <c r="S182" i="10"/>
  <c r="Q183" i="10"/>
  <c r="P184" i="10"/>
  <c r="S183" i="10" l="1"/>
  <c r="R183" i="10"/>
  <c r="R184" i="10"/>
  <c r="P185" i="10"/>
  <c r="Q184" i="10"/>
  <c r="S184" i="10" s="1"/>
  <c r="R185" i="10" l="1"/>
  <c r="S185" i="10"/>
  <c r="P186" i="10"/>
  <c r="Q185" i="10"/>
  <c r="S186" i="10" l="1"/>
  <c r="R186" i="10"/>
  <c r="P187" i="10"/>
  <c r="Q186" i="10"/>
  <c r="R187" i="10" l="1"/>
  <c r="S187" i="10"/>
  <c r="P188" i="10"/>
  <c r="Q187" i="10"/>
  <c r="P189" i="10" l="1"/>
  <c r="Q188" i="10"/>
  <c r="S188" i="10" l="1"/>
  <c r="R188" i="10"/>
  <c r="Q189" i="10"/>
  <c r="P190" i="10"/>
  <c r="S189" i="10" l="1"/>
  <c r="R189" i="10"/>
  <c r="Q190" i="10"/>
  <c r="P191" i="10"/>
  <c r="S190" i="10" l="1"/>
  <c r="R190" i="10"/>
  <c r="Q191" i="10"/>
  <c r="P192" i="10"/>
  <c r="S191" i="10" l="1"/>
  <c r="R191" i="10"/>
  <c r="Q192" i="10"/>
  <c r="P193" i="10"/>
  <c r="S192" i="10" l="1"/>
  <c r="R192" i="10"/>
  <c r="Q193" i="10"/>
  <c r="P194" i="10"/>
  <c r="R193" i="10" l="1"/>
  <c r="S193" i="10"/>
  <c r="P195" i="10"/>
  <c r="Q194" i="10"/>
  <c r="S194" i="10" l="1"/>
  <c r="R194" i="10"/>
  <c r="Q195" i="10"/>
  <c r="P196" i="10"/>
  <c r="S195" i="10" l="1"/>
  <c r="R195" i="10"/>
  <c r="P197" i="10"/>
  <c r="Q196" i="10"/>
  <c r="S196" i="10" l="1"/>
  <c r="R196" i="10"/>
  <c r="Q197" i="10"/>
  <c r="P198" i="10"/>
  <c r="R197" i="10" l="1"/>
  <c r="S197" i="10"/>
  <c r="Q198" i="10"/>
  <c r="P199" i="10"/>
  <c r="R198" i="10" l="1"/>
  <c r="S198" i="10"/>
  <c r="P200" i="10"/>
  <c r="Q199" i="10"/>
  <c r="R199" i="10" l="1"/>
  <c r="S199" i="10"/>
  <c r="Q200" i="10"/>
  <c r="P201" i="10"/>
  <c r="S200" i="10" l="1"/>
  <c r="R200" i="10"/>
  <c r="Q201" i="10"/>
  <c r="P202" i="10"/>
  <c r="S201" i="10" l="1"/>
  <c r="R201" i="10"/>
  <c r="P203" i="10"/>
  <c r="Q202" i="10"/>
  <c r="S202" i="10" l="1"/>
  <c r="R202" i="10"/>
  <c r="S203" i="10"/>
  <c r="P204" i="10"/>
  <c r="Q203" i="10"/>
  <c r="R203" i="10" s="1"/>
  <c r="Q204" i="10" l="1"/>
  <c r="P205" i="10"/>
  <c r="S204" i="10" l="1"/>
  <c r="R204" i="10"/>
  <c r="Q205" i="10"/>
  <c r="P206" i="10"/>
  <c r="R205" i="10" l="1"/>
  <c r="S205" i="10"/>
  <c r="P207" i="10"/>
  <c r="Q206" i="10"/>
  <c r="S206" i="10" l="1"/>
  <c r="R206" i="10"/>
  <c r="R207" i="10"/>
  <c r="P208" i="10"/>
  <c r="Q207" i="10"/>
  <c r="S207" i="10" s="1"/>
  <c r="Q208" i="10" l="1"/>
  <c r="P209" i="10"/>
  <c r="S208" i="10" l="1"/>
  <c r="R208" i="10"/>
  <c r="R209" i="10"/>
  <c r="P210" i="10"/>
  <c r="Q209" i="10"/>
  <c r="S209" i="10" s="1"/>
  <c r="Q210" i="10" l="1"/>
  <c r="P211" i="10"/>
  <c r="S210" i="10" l="1"/>
  <c r="R210" i="10"/>
  <c r="Q211" i="10"/>
  <c r="P212" i="10"/>
  <c r="R211" i="10" l="1"/>
  <c r="S211" i="10"/>
  <c r="Q212" i="10"/>
  <c r="P213" i="10"/>
  <c r="S212" i="10" l="1"/>
  <c r="R212" i="10"/>
  <c r="Q213" i="10"/>
  <c r="P214" i="10"/>
  <c r="S213" i="10" l="1"/>
  <c r="R213" i="10"/>
  <c r="Q214" i="10"/>
  <c r="P215" i="10"/>
  <c r="R214" i="10" l="1"/>
  <c r="S214" i="10"/>
  <c r="Q215" i="10"/>
  <c r="P216" i="10"/>
  <c r="S215" i="10" l="1"/>
  <c r="R215" i="10"/>
  <c r="S216" i="10"/>
  <c r="P217" i="10"/>
  <c r="Q216" i="10"/>
  <c r="R216" i="10" s="1"/>
  <c r="Q217" i="10" l="1"/>
  <c r="P218" i="10"/>
  <c r="S217" i="10" l="1"/>
  <c r="R217" i="10"/>
  <c r="Q218" i="10"/>
  <c r="P219" i="10"/>
  <c r="S218" i="10" l="1"/>
  <c r="R218" i="10"/>
  <c r="Q219" i="10"/>
  <c r="P220" i="10"/>
  <c r="S219" i="10" l="1"/>
  <c r="R219" i="10"/>
  <c r="S220" i="10"/>
  <c r="P221" i="10"/>
  <c r="Q220" i="10"/>
  <c r="R220" i="10" s="1"/>
  <c r="Q221" i="10" l="1"/>
  <c r="P222" i="10"/>
  <c r="R221" i="10" l="1"/>
  <c r="S221" i="10"/>
  <c r="R222" i="10"/>
  <c r="P223" i="10"/>
  <c r="Q222" i="10"/>
  <c r="S222" i="10" s="1"/>
  <c r="S223" i="10" l="1"/>
  <c r="R223" i="10"/>
  <c r="P224" i="10"/>
  <c r="Q223" i="10"/>
  <c r="S224" i="10" l="1"/>
  <c r="R224" i="10"/>
  <c r="P225" i="10"/>
  <c r="Q224" i="10"/>
  <c r="Q225" i="10" l="1"/>
  <c r="P226" i="10"/>
  <c r="S225" i="10" l="1"/>
  <c r="R225" i="10"/>
  <c r="P227" i="10"/>
  <c r="Q226" i="10"/>
  <c r="R226" i="10" l="1"/>
  <c r="S226" i="10"/>
  <c r="S227" i="10"/>
  <c r="P228" i="10"/>
  <c r="Q227" i="10"/>
  <c r="R227" i="10" s="1"/>
  <c r="P229" i="10" l="1"/>
  <c r="Q228" i="10"/>
  <c r="S228" i="10" l="1"/>
  <c r="R228" i="10"/>
  <c r="Q229" i="10"/>
  <c r="P230" i="10"/>
  <c r="S229" i="10" l="1"/>
  <c r="R229" i="10"/>
  <c r="Q230" i="10"/>
  <c r="P231" i="10"/>
  <c r="R230" i="10" l="1"/>
  <c r="S230" i="10"/>
  <c r="S231" i="10"/>
  <c r="P232" i="10"/>
  <c r="Q231" i="10"/>
  <c r="R231" i="10" s="1"/>
  <c r="P233" i="10" l="1"/>
  <c r="Q232" i="10"/>
  <c r="R232" i="10" l="1"/>
  <c r="S232" i="10"/>
  <c r="Q233" i="10"/>
  <c r="P234" i="10"/>
  <c r="R233" i="10" l="1"/>
  <c r="S233" i="10"/>
  <c r="Q234" i="10"/>
  <c r="P235" i="10"/>
  <c r="S234" i="10" l="1"/>
  <c r="R234" i="10"/>
  <c r="Q235" i="10"/>
  <c r="P236" i="10"/>
  <c r="R235" i="10" l="1"/>
  <c r="S235" i="10"/>
  <c r="Q236" i="10"/>
  <c r="P237" i="10"/>
  <c r="S236" i="10" l="1"/>
  <c r="R236" i="10"/>
  <c r="Q237" i="10"/>
  <c r="P238" i="10"/>
  <c r="S237" i="10" l="1"/>
  <c r="R237" i="10"/>
  <c r="Q238" i="10"/>
  <c r="P239" i="10"/>
  <c r="S238" i="10" l="1"/>
  <c r="R238" i="10"/>
  <c r="S239" i="10"/>
  <c r="P240" i="10"/>
  <c r="Q239" i="10"/>
  <c r="R239" i="10" s="1"/>
  <c r="S240" i="10" l="1"/>
  <c r="P241" i="10"/>
  <c r="Q240" i="10"/>
  <c r="R240" i="10" s="1"/>
  <c r="P242" i="10" l="1"/>
  <c r="Q241" i="10"/>
  <c r="S241" i="10" l="1"/>
  <c r="R241" i="10"/>
  <c r="Q242" i="10"/>
  <c r="P243" i="10"/>
  <c r="S242" i="10" l="1"/>
  <c r="R242" i="10"/>
  <c r="P244" i="10"/>
  <c r="Q243" i="10"/>
  <c r="S243" i="10" l="1"/>
  <c r="R243" i="10"/>
  <c r="Q244" i="10"/>
  <c r="P245" i="10"/>
  <c r="S244" i="10" l="1"/>
  <c r="R244" i="10"/>
  <c r="S245" i="10"/>
  <c r="R245" i="10"/>
  <c r="P246" i="10"/>
  <c r="Q245" i="10"/>
  <c r="Q246" i="10" l="1"/>
  <c r="P247" i="10"/>
  <c r="S246" i="10" l="1"/>
  <c r="R246" i="10"/>
  <c r="Q247" i="10"/>
  <c r="P248" i="10"/>
  <c r="R247" i="10" l="1"/>
  <c r="S247" i="10"/>
  <c r="Q248" i="10"/>
  <c r="P249" i="10"/>
  <c r="S248" i="10" l="1"/>
  <c r="R248" i="10"/>
  <c r="Q249" i="10"/>
  <c r="P250" i="10"/>
  <c r="S249" i="10" l="1"/>
  <c r="R249" i="10"/>
  <c r="Q250" i="10"/>
  <c r="P251" i="10"/>
  <c r="S250" i="10" l="1"/>
  <c r="R250" i="10"/>
  <c r="Q251" i="10"/>
  <c r="P252" i="10"/>
  <c r="R251" i="10" l="1"/>
  <c r="S251" i="10"/>
  <c r="Q252" i="10"/>
  <c r="P253" i="10"/>
  <c r="S252" i="10" l="1"/>
  <c r="R252" i="10"/>
  <c r="P254" i="10"/>
  <c r="Q253" i="10"/>
  <c r="R253" i="10" l="1"/>
  <c r="S253" i="10"/>
  <c r="Q254" i="10"/>
  <c r="P255" i="10"/>
  <c r="R254" i="10" l="1"/>
  <c r="S254" i="10"/>
  <c r="P256" i="10"/>
  <c r="Q255" i="10"/>
  <c r="S255" i="10" l="1"/>
  <c r="R255" i="10"/>
  <c r="Q256" i="10"/>
  <c r="P257" i="10"/>
  <c r="S256" i="10" l="1"/>
  <c r="R256" i="10"/>
  <c r="Q257" i="10"/>
  <c r="P258" i="10"/>
  <c r="S257" i="10" l="1"/>
  <c r="R257" i="10"/>
  <c r="Q258" i="10"/>
  <c r="P259" i="10"/>
  <c r="S258" i="10" l="1"/>
  <c r="R258" i="10"/>
  <c r="Q259" i="10"/>
  <c r="P260" i="10"/>
  <c r="S259" i="10" l="1"/>
  <c r="R259" i="10"/>
  <c r="Q260" i="10"/>
  <c r="P261" i="10"/>
  <c r="R260" i="10" l="1"/>
  <c r="S260" i="10"/>
  <c r="Q261" i="10"/>
  <c r="P262" i="10"/>
  <c r="S261" i="10" l="1"/>
  <c r="R261" i="10"/>
  <c r="R262" i="10"/>
  <c r="S262" i="10"/>
  <c r="P263" i="10"/>
  <c r="Q262" i="10"/>
  <c r="Q263" i="10" l="1"/>
  <c r="P264" i="10"/>
  <c r="R263" i="10" l="1"/>
  <c r="S263" i="10"/>
  <c r="S264" i="10"/>
  <c r="P265" i="10"/>
  <c r="Q264" i="10"/>
  <c r="R264" i="10" s="1"/>
  <c r="Q265" i="10" l="1"/>
  <c r="P266" i="10"/>
  <c r="S265" i="10" l="1"/>
  <c r="R265" i="10"/>
  <c r="P267" i="10"/>
  <c r="Q266" i="10"/>
  <c r="S266" i="10" l="1"/>
  <c r="R266" i="10"/>
  <c r="Q267" i="10"/>
  <c r="P268" i="10"/>
  <c r="S267" i="10" l="1"/>
  <c r="R267" i="10"/>
  <c r="Q268" i="10"/>
  <c r="P269" i="10"/>
  <c r="S268" i="10" l="1"/>
  <c r="R268" i="10"/>
  <c r="S269" i="10"/>
  <c r="R269" i="10"/>
  <c r="P270" i="10"/>
  <c r="Q269" i="10"/>
  <c r="P271" i="10" l="1"/>
  <c r="Q270" i="10"/>
  <c r="R270" i="10" l="1"/>
  <c r="S270" i="10"/>
  <c r="Q271" i="10"/>
  <c r="P272" i="10"/>
  <c r="S271" i="10" l="1"/>
  <c r="R271" i="10"/>
  <c r="Q272" i="10"/>
  <c r="P273" i="10"/>
  <c r="R272" i="10" l="1"/>
  <c r="S272" i="10"/>
  <c r="R273" i="10"/>
  <c r="S273" i="10"/>
  <c r="P274" i="10"/>
  <c r="Q273" i="10"/>
  <c r="Q274" i="10" l="1"/>
  <c r="P275" i="10"/>
  <c r="S274" i="10" l="1"/>
  <c r="R274" i="10"/>
  <c r="P276" i="10"/>
  <c r="Q275" i="10"/>
  <c r="S275" i="10" l="1"/>
  <c r="R275" i="10"/>
  <c r="Q276" i="10"/>
  <c r="P277" i="10"/>
  <c r="S276" i="10" l="1"/>
  <c r="R276" i="10"/>
  <c r="S277" i="10"/>
  <c r="R277" i="10"/>
  <c r="P278" i="10"/>
  <c r="Q277" i="10"/>
  <c r="Q278" i="10" l="1"/>
  <c r="P279" i="10"/>
  <c r="R278" i="10" l="1"/>
  <c r="S278" i="10"/>
  <c r="R279" i="10"/>
  <c r="P280" i="10"/>
  <c r="Q279" i="10"/>
  <c r="S279" i="10" s="1"/>
  <c r="Q280" i="10" l="1"/>
  <c r="P281" i="10"/>
  <c r="R280" i="10" l="1"/>
  <c r="S280" i="10"/>
  <c r="Q281" i="10"/>
  <c r="P282" i="10"/>
  <c r="S281" i="10" l="1"/>
  <c r="R281" i="10"/>
  <c r="S282" i="10"/>
  <c r="R282" i="10"/>
  <c r="P283" i="10"/>
  <c r="Q282" i="10"/>
  <c r="S283" i="10" l="1"/>
  <c r="P284" i="10"/>
  <c r="Q283" i="10"/>
  <c r="R283" i="10" s="1"/>
  <c r="R284" i="10" l="1"/>
  <c r="P285" i="10"/>
  <c r="Q284" i="10"/>
  <c r="S284" i="10" s="1"/>
  <c r="Q285" i="10" l="1"/>
  <c r="P286" i="10"/>
  <c r="S285" i="10" l="1"/>
  <c r="R285" i="10"/>
  <c r="Q286" i="10"/>
  <c r="P287" i="10"/>
  <c r="R286" i="10" l="1"/>
  <c r="S286" i="10"/>
  <c r="Q287" i="10"/>
  <c r="P288" i="10"/>
  <c r="S287" i="10" l="1"/>
  <c r="R287" i="10"/>
  <c r="Q288" i="10"/>
  <c r="P289" i="10"/>
  <c r="S288" i="10" l="1"/>
  <c r="R288" i="10"/>
  <c r="Q289" i="10"/>
  <c r="P290" i="10"/>
  <c r="R289" i="10" l="1"/>
  <c r="S289" i="10"/>
  <c r="P291" i="10"/>
  <c r="Q290" i="10"/>
  <c r="S290" i="10" l="1"/>
  <c r="R290" i="10"/>
  <c r="P292" i="10"/>
  <c r="Q291" i="10"/>
  <c r="R291" i="10" l="1"/>
  <c r="S291" i="10"/>
  <c r="Q292" i="10"/>
  <c r="P293" i="10"/>
  <c r="R292" i="10" l="1"/>
  <c r="S292" i="10"/>
  <c r="P294" i="10"/>
  <c r="Q293" i="10"/>
  <c r="S293" i="10" l="1"/>
  <c r="R293" i="10"/>
  <c r="Q294" i="10"/>
  <c r="P295" i="10"/>
  <c r="R294" i="10" l="1"/>
  <c r="S294" i="10"/>
  <c r="P296" i="10"/>
  <c r="Q295" i="10"/>
  <c r="S295" i="10" l="1"/>
  <c r="R295" i="10"/>
  <c r="P297" i="10"/>
  <c r="Q296" i="10"/>
  <c r="R296" i="10" l="1"/>
  <c r="S296" i="10"/>
  <c r="Q297" i="10"/>
  <c r="P298" i="10"/>
  <c r="S297" i="10" l="1"/>
  <c r="R297" i="10"/>
  <c r="Q298" i="10"/>
  <c r="P299" i="10"/>
  <c r="R298" i="10" l="1"/>
  <c r="S298" i="10"/>
  <c r="P300" i="10"/>
  <c r="Q299" i="10"/>
  <c r="R299" i="10" l="1"/>
  <c r="S299" i="10"/>
  <c r="Q300" i="10"/>
  <c r="P301" i="10"/>
  <c r="S300" i="10" l="1"/>
  <c r="R300" i="10"/>
  <c r="Q301" i="10"/>
  <c r="P302" i="10"/>
  <c r="S301" i="10" l="1"/>
  <c r="R301" i="10"/>
  <c r="S302" i="10"/>
  <c r="P303" i="10"/>
  <c r="Q302" i="10"/>
  <c r="R302" i="10" s="1"/>
  <c r="Q303" i="10" l="1"/>
  <c r="P304" i="10"/>
  <c r="R303" i="10" l="1"/>
  <c r="S303" i="10"/>
  <c r="P305" i="10"/>
  <c r="Q304" i="10"/>
  <c r="S304" i="10" l="1"/>
  <c r="R304" i="10"/>
  <c r="S305" i="10"/>
  <c r="P306" i="10"/>
  <c r="Q305" i="10"/>
  <c r="R305" i="10" s="1"/>
  <c r="R306" i="10" l="1"/>
  <c r="S306" i="10"/>
  <c r="P307" i="10"/>
  <c r="Q306" i="10"/>
  <c r="Q307" i="10" l="1"/>
  <c r="P308" i="10"/>
  <c r="S307" i="10" l="1"/>
  <c r="R307" i="10"/>
  <c r="S308" i="10"/>
  <c r="P309" i="10"/>
  <c r="Q308" i="10"/>
  <c r="R308" i="10" s="1"/>
  <c r="S309" i="10" l="1"/>
  <c r="R309" i="10"/>
  <c r="P310" i="10"/>
  <c r="Q309" i="10"/>
  <c r="R310" i="10" l="1"/>
  <c r="P311" i="10"/>
  <c r="Q310" i="10"/>
  <c r="S310" i="10" s="1"/>
  <c r="P312" i="10" l="1"/>
  <c r="Q311" i="10"/>
  <c r="S311" i="10" l="1"/>
  <c r="R311" i="10"/>
  <c r="Q312" i="10"/>
  <c r="P313" i="10"/>
  <c r="S312" i="10" l="1"/>
  <c r="R312" i="10"/>
  <c r="R313" i="10"/>
  <c r="P314" i="10"/>
  <c r="Q313" i="10"/>
  <c r="S313" i="10" s="1"/>
  <c r="S314" i="10" l="1"/>
  <c r="R314" i="10"/>
  <c r="P315" i="10"/>
  <c r="Q314" i="10"/>
  <c r="R315" i="10" l="1"/>
  <c r="S315" i="10"/>
  <c r="P316" i="10"/>
  <c r="Q315" i="10"/>
  <c r="S316" i="10" l="1"/>
  <c r="R316" i="10"/>
  <c r="P317" i="10"/>
  <c r="Q316" i="10"/>
  <c r="R317" i="10" l="1"/>
  <c r="S317" i="10"/>
  <c r="P318" i="10"/>
  <c r="Q317" i="10"/>
  <c r="Q318" i="10" l="1"/>
  <c r="P319" i="10"/>
  <c r="S318" i="10" l="1"/>
  <c r="R318" i="10"/>
  <c r="Q319" i="10"/>
  <c r="P320" i="10"/>
  <c r="S319" i="10" l="1"/>
  <c r="R319" i="10"/>
  <c r="P321" i="10"/>
  <c r="Q320" i="10"/>
  <c r="R320" i="10" l="1"/>
  <c r="S320" i="10"/>
  <c r="P322" i="10"/>
  <c r="Q321" i="10"/>
  <c r="R321" i="10" l="1"/>
  <c r="S321" i="10"/>
  <c r="P323" i="10"/>
  <c r="Q322" i="10"/>
  <c r="S322" i="10" l="1"/>
  <c r="R322" i="10"/>
  <c r="Q323" i="10"/>
  <c r="P324" i="10"/>
  <c r="S323" i="10" l="1"/>
  <c r="R323" i="10"/>
  <c r="Q324" i="10"/>
  <c r="P325" i="10"/>
  <c r="R324" i="10" l="1"/>
  <c r="S324" i="10"/>
  <c r="Q325" i="10"/>
  <c r="P326" i="10"/>
  <c r="R325" i="10" l="1"/>
  <c r="S325" i="10"/>
  <c r="Q326" i="10"/>
  <c r="P327" i="10"/>
  <c r="S326" i="10" l="1"/>
  <c r="R326" i="10"/>
  <c r="Q327" i="10"/>
  <c r="P328" i="10"/>
  <c r="R327" i="10" l="1"/>
  <c r="S327" i="10"/>
  <c r="R328" i="10"/>
  <c r="P329" i="10"/>
  <c r="Q328" i="10"/>
  <c r="S328" i="10" s="1"/>
  <c r="Q329" i="10" l="1"/>
  <c r="P330" i="10"/>
  <c r="R329" i="10" l="1"/>
  <c r="S329" i="10"/>
  <c r="Q330" i="10"/>
  <c r="P331" i="10"/>
  <c r="S330" i="10" l="1"/>
  <c r="R330" i="10"/>
  <c r="Q331" i="10"/>
  <c r="P332" i="10"/>
  <c r="S331" i="10" l="1"/>
  <c r="R331" i="10"/>
  <c r="Q332" i="10"/>
  <c r="P333" i="10"/>
  <c r="S332" i="10" l="1"/>
  <c r="R332" i="10"/>
  <c r="Q333" i="10"/>
  <c r="P334" i="10"/>
  <c r="R333" i="10" l="1"/>
  <c r="S333" i="10"/>
  <c r="Q334" i="10"/>
  <c r="P335" i="10"/>
  <c r="S334" i="10" l="1"/>
  <c r="R334" i="10"/>
  <c r="S335" i="10"/>
  <c r="P336" i="10"/>
  <c r="Q335" i="10"/>
  <c r="R335" i="10" s="1"/>
  <c r="Q336" i="10" l="1"/>
  <c r="P337" i="10"/>
  <c r="S336" i="10" l="1"/>
  <c r="R336" i="10"/>
  <c r="Q337" i="10"/>
  <c r="P338" i="10"/>
  <c r="R337" i="10" l="1"/>
  <c r="S337" i="10"/>
  <c r="P339" i="10"/>
  <c r="Q338" i="10"/>
  <c r="R338" i="10" l="1"/>
  <c r="S338" i="10"/>
  <c r="P340" i="10"/>
  <c r="Q339" i="10"/>
  <c r="S339" i="10" l="1"/>
  <c r="R339" i="10"/>
  <c r="P341" i="10"/>
  <c r="Q340" i="10"/>
  <c r="S340" i="10" l="1"/>
  <c r="R340" i="10"/>
  <c r="Q341" i="10"/>
  <c r="P342" i="10"/>
  <c r="S341" i="10" l="1"/>
  <c r="R341" i="10"/>
  <c r="P343" i="10"/>
  <c r="Q342" i="10"/>
  <c r="R342" i="10" l="1"/>
  <c r="S342" i="10"/>
  <c r="P344" i="10"/>
  <c r="Q343" i="10"/>
  <c r="R343" i="10" l="1"/>
  <c r="S343" i="10"/>
  <c r="P345" i="10"/>
  <c r="Q344" i="10"/>
  <c r="S344" i="10" l="1"/>
  <c r="R344" i="10"/>
  <c r="Q345" i="10"/>
  <c r="P346" i="10"/>
  <c r="R345" i="10" l="1"/>
  <c r="S345" i="10"/>
  <c r="Q346" i="10"/>
  <c r="P347" i="10"/>
  <c r="R346" i="10" l="1"/>
  <c r="S346" i="10"/>
  <c r="P348" i="10"/>
  <c r="Q347" i="10"/>
  <c r="S347" i="10" l="1"/>
  <c r="R347" i="10"/>
  <c r="P349" i="10"/>
  <c r="Q348" i="10"/>
  <c r="R348" i="10" l="1"/>
  <c r="S348" i="10"/>
  <c r="P350" i="10"/>
  <c r="Q349" i="10"/>
  <c r="S349" i="10" l="1"/>
  <c r="R349" i="10"/>
  <c r="Q350" i="10"/>
  <c r="P351" i="10"/>
  <c r="S350" i="10" l="1"/>
  <c r="R350" i="10"/>
  <c r="Q351" i="10"/>
  <c r="P352" i="10"/>
  <c r="R351" i="10" l="1"/>
  <c r="S351" i="10"/>
  <c r="S352" i="10"/>
  <c r="P353" i="10"/>
  <c r="Q352" i="10"/>
  <c r="R352" i="10" s="1"/>
  <c r="S353" i="10" l="1"/>
  <c r="R353" i="10"/>
  <c r="P354" i="10"/>
  <c r="Q353" i="10"/>
  <c r="Q354" i="10" l="1"/>
  <c r="P355" i="10"/>
  <c r="R354" i="10" l="1"/>
  <c r="S354" i="10"/>
  <c r="S355" i="10"/>
  <c r="R355" i="10"/>
  <c r="P356" i="10"/>
  <c r="Q355" i="10"/>
  <c r="Q356" i="10" l="1"/>
  <c r="P357" i="10"/>
  <c r="S356" i="10" l="1"/>
  <c r="R356" i="10"/>
  <c r="Q357" i="10"/>
  <c r="P358" i="10"/>
  <c r="S357" i="10" l="1"/>
  <c r="R357" i="10"/>
  <c r="Q358" i="10"/>
  <c r="P359" i="10"/>
  <c r="R358" i="10" l="1"/>
  <c r="S358" i="10"/>
  <c r="S359" i="10"/>
  <c r="R359" i="10"/>
  <c r="P360" i="10"/>
  <c r="Q359" i="10"/>
  <c r="Q360" i="10" l="1"/>
  <c r="P361" i="10"/>
  <c r="S360" i="10" l="1"/>
  <c r="R360" i="10"/>
  <c r="Q361" i="10"/>
  <c r="P362" i="10"/>
  <c r="R361" i="10" l="1"/>
  <c r="S361" i="10"/>
  <c r="P363" i="10"/>
  <c r="Q362" i="10"/>
  <c r="R362" i="10" l="1"/>
  <c r="S362" i="10"/>
  <c r="Q363" i="10"/>
  <c r="P364" i="10"/>
  <c r="S363" i="10" l="1"/>
  <c r="R363" i="10"/>
  <c r="Q364" i="10"/>
  <c r="P365" i="10"/>
  <c r="R364" i="10" l="1"/>
  <c r="S364" i="10"/>
  <c r="Q365" i="10"/>
  <c r="P366" i="10"/>
  <c r="R365" i="10" l="1"/>
  <c r="S365" i="10"/>
  <c r="R366" i="10"/>
  <c r="S366" i="10"/>
  <c r="P367" i="10"/>
  <c r="Q366" i="10"/>
  <c r="Q367" i="10" l="1"/>
  <c r="P368" i="10"/>
  <c r="S367" i="10" l="1"/>
  <c r="R367" i="10"/>
  <c r="Q368" i="10"/>
  <c r="P369" i="10"/>
  <c r="S368" i="10" l="1"/>
  <c r="R368" i="10"/>
  <c r="Q369" i="10"/>
  <c r="P370" i="10"/>
  <c r="R369" i="10" l="1"/>
  <c r="S369" i="10"/>
  <c r="S370" i="10"/>
  <c r="R370" i="10"/>
  <c r="P371" i="10"/>
  <c r="Q370" i="10"/>
  <c r="Q371" i="10" l="1"/>
  <c r="P372" i="10"/>
  <c r="S371" i="10" l="1"/>
  <c r="R371" i="10"/>
  <c r="P373" i="10"/>
  <c r="Q372" i="10"/>
  <c r="S372" i="10" l="1"/>
  <c r="R372" i="10"/>
  <c r="S373" i="10"/>
  <c r="P374" i="10"/>
  <c r="Q373" i="10"/>
  <c r="R373" i="10" s="1"/>
  <c r="Q374" i="10" l="1"/>
  <c r="P375" i="10"/>
  <c r="S374" i="10" l="1"/>
  <c r="R374" i="10"/>
  <c r="Q375" i="10"/>
  <c r="P376" i="10"/>
  <c r="S375" i="10" l="1"/>
  <c r="R375" i="10"/>
  <c r="P377" i="10"/>
  <c r="Q376" i="10"/>
  <c r="S376" i="10" l="1"/>
  <c r="R376" i="10"/>
  <c r="Q377" i="10"/>
  <c r="P378" i="10"/>
  <c r="S377" i="10" l="1"/>
  <c r="R377" i="10"/>
  <c r="R378" i="10"/>
  <c r="S378" i="10"/>
  <c r="P379" i="10"/>
  <c r="Q378" i="10"/>
  <c r="Q379" i="10" l="1"/>
  <c r="P380" i="10"/>
  <c r="R379" i="10" l="1"/>
  <c r="S379" i="10"/>
  <c r="S380" i="10"/>
  <c r="R380" i="10"/>
  <c r="P381" i="10"/>
  <c r="Q380" i="10"/>
  <c r="S381" i="10" l="1"/>
  <c r="R381" i="10"/>
  <c r="P382" i="10"/>
  <c r="Q381" i="10"/>
  <c r="S382" i="10" l="1"/>
  <c r="P383" i="10"/>
  <c r="Q382" i="10"/>
  <c r="R382" i="10" s="1"/>
  <c r="Q383" i="10" l="1"/>
  <c r="P384" i="10"/>
  <c r="S383" i="10" l="1"/>
  <c r="R383" i="10"/>
  <c r="Q384" i="10"/>
  <c r="P385" i="10"/>
  <c r="R384" i="10" l="1"/>
  <c r="S384" i="10"/>
  <c r="Q385" i="10"/>
  <c r="P386" i="10"/>
  <c r="S385" i="10" l="1"/>
  <c r="R385" i="10"/>
  <c r="Q386" i="10"/>
  <c r="P387" i="10"/>
  <c r="S386" i="10" l="1"/>
  <c r="R386" i="10"/>
  <c r="Q387" i="10"/>
  <c r="P388" i="10"/>
  <c r="S387" i="10" l="1"/>
  <c r="R387" i="10"/>
  <c r="Q388" i="10"/>
  <c r="P389" i="10"/>
  <c r="S388" i="10" l="1"/>
  <c r="R388" i="10"/>
  <c r="P390" i="10"/>
  <c r="Q389" i="10"/>
  <c r="S389" i="10" l="1"/>
  <c r="R389" i="10"/>
  <c r="P391" i="10"/>
  <c r="Q390" i="10"/>
  <c r="S390" i="10" l="1"/>
  <c r="R390" i="10"/>
  <c r="P392" i="10"/>
  <c r="Q391" i="10"/>
  <c r="R391" i="10" l="1"/>
  <c r="S391" i="10"/>
  <c r="S392" i="10"/>
  <c r="Q392" i="10"/>
  <c r="R392" i="10" s="1"/>
  <c r="P393" i="10"/>
  <c r="Q393" i="10" l="1"/>
  <c r="P394" i="10"/>
  <c r="R393" i="10" l="1"/>
  <c r="S393" i="10"/>
  <c r="P395" i="10"/>
  <c r="Q394" i="10"/>
  <c r="S395" i="10" l="1"/>
  <c r="S394" i="10"/>
  <c r="R394" i="10"/>
  <c r="Q395" i="10"/>
  <c r="R395" i="10" s="1"/>
  <c r="P396" i="10"/>
  <c r="Q396" i="10" l="1"/>
  <c r="P397" i="10"/>
  <c r="R396" i="10" l="1"/>
  <c r="S396" i="10"/>
  <c r="P398" i="10"/>
  <c r="Q397" i="10"/>
  <c r="S398" i="10" l="1"/>
  <c r="R398" i="10"/>
  <c r="S397" i="10"/>
  <c r="R397" i="10"/>
  <c r="Q398" i="10"/>
  <c r="P399" i="10"/>
  <c r="R399" i="10" l="1"/>
  <c r="S399" i="10"/>
  <c r="P400" i="10"/>
  <c r="Q399" i="10"/>
  <c r="P401" i="10" l="1"/>
  <c r="Q400" i="10"/>
  <c r="R400" i="10" l="1"/>
  <c r="S400" i="10"/>
  <c r="S401" i="10"/>
  <c r="R401" i="10"/>
  <c r="P402" i="10"/>
  <c r="Q401" i="10"/>
  <c r="Q402" i="10" l="1"/>
  <c r="P403" i="10"/>
  <c r="S402" i="10" l="1"/>
  <c r="R402" i="10"/>
  <c r="R403" i="10"/>
  <c r="Q403" i="10"/>
  <c r="S403" i="10" s="1"/>
  <c r="P404" i="10"/>
  <c r="S404" i="10" l="1"/>
  <c r="P405" i="10"/>
  <c r="Q404" i="10"/>
  <c r="R404" i="10" s="1"/>
  <c r="Q405" i="10" l="1"/>
  <c r="P406" i="10"/>
  <c r="S405" i="10" l="1"/>
  <c r="R405" i="10"/>
  <c r="S406" i="10"/>
  <c r="Q406" i="10"/>
  <c r="R406" i="10" s="1"/>
  <c r="P407" i="10"/>
  <c r="Q407" i="10" l="1"/>
  <c r="P408" i="10"/>
  <c r="R407" i="10" l="1"/>
  <c r="S407" i="10"/>
  <c r="R408" i="10"/>
  <c r="S408" i="10"/>
  <c r="P409" i="10"/>
  <c r="Q408" i="10"/>
  <c r="Q409" i="10" l="1"/>
  <c r="P410" i="10"/>
  <c r="R409" i="10" l="1"/>
  <c r="S409" i="10"/>
  <c r="S410" i="10"/>
  <c r="P411" i="10"/>
  <c r="Q410" i="10"/>
  <c r="R410" i="10" s="1"/>
  <c r="R411" i="10" l="1"/>
  <c r="S411" i="10"/>
  <c r="P412" i="10"/>
  <c r="Q411" i="10"/>
  <c r="S412" i="10" l="1"/>
  <c r="R412" i="10"/>
  <c r="P413" i="10"/>
  <c r="Q412" i="10"/>
  <c r="P414" i="10" l="1"/>
  <c r="Q413" i="10"/>
  <c r="S414" i="10" l="1"/>
  <c r="R414" i="10"/>
  <c r="S413" i="10"/>
  <c r="R413" i="10"/>
  <c r="Q414" i="10"/>
  <c r="P415" i="10"/>
  <c r="Q415" i="10" l="1"/>
  <c r="P416" i="10"/>
  <c r="S415" i="10" l="1"/>
  <c r="R415" i="10"/>
  <c r="Q416" i="10"/>
  <c r="P417" i="10"/>
  <c r="R416" i="10" l="1"/>
  <c r="S416" i="10"/>
  <c r="Q417" i="10"/>
  <c r="P418" i="10"/>
  <c r="R417" i="10" l="1"/>
  <c r="S417" i="10"/>
  <c r="Q418" i="10"/>
  <c r="P419" i="10"/>
  <c r="R418" i="10" l="1"/>
  <c r="S418" i="10"/>
  <c r="Q419" i="10"/>
  <c r="P420" i="10"/>
  <c r="S419" i="10" l="1"/>
  <c r="R419" i="10"/>
  <c r="Q420" i="10"/>
  <c r="P421" i="10"/>
  <c r="R420" i="10" l="1"/>
  <c r="S420" i="10"/>
  <c r="P422" i="10"/>
  <c r="Q421" i="10"/>
  <c r="R421" i="10" l="1"/>
  <c r="S421" i="10"/>
  <c r="Q422" i="10"/>
  <c r="P423" i="10"/>
  <c r="R422" i="10" l="1"/>
  <c r="S422" i="10"/>
  <c r="P424" i="10"/>
  <c r="Q423" i="10"/>
  <c r="R423" i="10" l="1"/>
  <c r="S423" i="10"/>
  <c r="Q424" i="10"/>
  <c r="P425" i="10"/>
  <c r="R424" i="10" l="1"/>
  <c r="S424" i="10"/>
  <c r="Q425" i="10"/>
  <c r="P426" i="10"/>
  <c r="R425" i="10" l="1"/>
  <c r="S425" i="10"/>
  <c r="Q426" i="10"/>
  <c r="P427" i="10"/>
  <c r="R426" i="10" l="1"/>
  <c r="S426" i="10"/>
  <c r="Q427" i="10"/>
  <c r="P428" i="10"/>
  <c r="S427" i="10" l="1"/>
  <c r="R427" i="10"/>
  <c r="P429" i="10"/>
  <c r="Q428" i="10"/>
  <c r="S428" i="10" l="1"/>
  <c r="R428" i="10"/>
  <c r="Q429" i="10"/>
  <c r="P430" i="10"/>
  <c r="S429" i="10" l="1"/>
  <c r="R429" i="10"/>
  <c r="R430" i="10"/>
  <c r="P431" i="10"/>
  <c r="Q430" i="10"/>
  <c r="S430" i="10" s="1"/>
  <c r="P432" i="10" l="1"/>
  <c r="Q431" i="10"/>
  <c r="R431" i="10" l="1"/>
  <c r="S431" i="10"/>
  <c r="P433" i="10"/>
  <c r="Q432" i="10"/>
  <c r="S432" i="10" l="1"/>
  <c r="R432" i="10"/>
  <c r="Q433" i="10"/>
  <c r="P434" i="10"/>
  <c r="S433" i="10" l="1"/>
  <c r="R433" i="10"/>
  <c r="P435" i="10"/>
  <c r="Q434" i="10"/>
  <c r="S434" i="10" l="1"/>
  <c r="R434" i="10"/>
  <c r="Q435" i="10"/>
  <c r="P436" i="10"/>
  <c r="S435" i="10" l="1"/>
  <c r="R435" i="10"/>
  <c r="S436" i="10"/>
  <c r="P437" i="10"/>
  <c r="Q436" i="10"/>
  <c r="R436" i="10" s="1"/>
  <c r="S437" i="10" l="1"/>
  <c r="P438" i="10"/>
  <c r="Q437" i="10"/>
  <c r="R437" i="10" s="1"/>
  <c r="S438" i="10" l="1"/>
  <c r="R438" i="10"/>
  <c r="P439" i="10"/>
  <c r="Q438" i="10"/>
  <c r="Q439" i="10" l="1"/>
  <c r="P440" i="10"/>
  <c r="S439" i="10" l="1"/>
  <c r="R439" i="10"/>
  <c r="S440" i="10"/>
  <c r="P441" i="10"/>
  <c r="Q440" i="10"/>
  <c r="R440" i="10" s="1"/>
  <c r="Q441" i="10" l="1"/>
  <c r="P442" i="10"/>
  <c r="S441" i="10" l="1"/>
  <c r="R441" i="10"/>
  <c r="S442" i="10"/>
  <c r="P443" i="10"/>
  <c r="Q442" i="10"/>
  <c r="R442" i="10" s="1"/>
  <c r="Q443" i="10" l="1"/>
  <c r="P444" i="10"/>
  <c r="S443" i="10" l="1"/>
  <c r="R443" i="10"/>
  <c r="Q444" i="10"/>
  <c r="P445" i="10"/>
  <c r="S444" i="10" l="1"/>
  <c r="R444" i="10"/>
  <c r="Q445" i="10"/>
  <c r="P446" i="10"/>
  <c r="S445" i="10" l="1"/>
  <c r="R445" i="10"/>
  <c r="Q446" i="10"/>
  <c r="P447" i="10"/>
  <c r="R446" i="10" l="1"/>
  <c r="S446" i="10"/>
  <c r="S447" i="10"/>
  <c r="Q447" i="10"/>
  <c r="R447" i="10" s="1"/>
  <c r="P448" i="10"/>
  <c r="P449" i="10" l="1"/>
  <c r="Q448" i="10"/>
  <c r="S449" i="10" l="1"/>
  <c r="S448" i="10"/>
  <c r="R448" i="10"/>
  <c r="Q449" i="10"/>
  <c r="R449" i="10" s="1"/>
  <c r="P450" i="10"/>
  <c r="Q450" i="10" l="1"/>
  <c r="P451" i="10"/>
  <c r="R450" i="10" l="1"/>
  <c r="S450" i="10"/>
  <c r="P452" i="10"/>
  <c r="Q451" i="10"/>
  <c r="S451" i="10" l="1"/>
  <c r="R451" i="10"/>
  <c r="Q452" i="10"/>
  <c r="P453" i="10"/>
  <c r="R452" i="10" l="1"/>
  <c r="S452" i="10"/>
  <c r="P454" i="10"/>
  <c r="Q453" i="10"/>
  <c r="S453" i="10" l="1"/>
  <c r="R453" i="10"/>
  <c r="P455" i="10"/>
  <c r="Q454" i="10"/>
  <c r="S454" i="10" l="1"/>
  <c r="R454" i="10"/>
  <c r="Q455" i="10"/>
  <c r="P456" i="10"/>
  <c r="R455" i="10" l="1"/>
  <c r="S455" i="10"/>
  <c r="P457" i="10"/>
  <c r="Q456" i="10"/>
  <c r="S457" i="10" l="1"/>
  <c r="R457" i="10"/>
  <c r="R456" i="10"/>
  <c r="S456" i="10"/>
  <c r="P458" i="10"/>
  <c r="Q457" i="10"/>
  <c r="P459" i="10" l="1"/>
  <c r="Q458" i="10"/>
  <c r="S459" i="10" l="1"/>
  <c r="R459" i="10"/>
  <c r="R458" i="10"/>
  <c r="S458" i="10"/>
  <c r="P460" i="10"/>
  <c r="Q459" i="10"/>
  <c r="P461" i="10" l="1"/>
  <c r="Q460" i="10"/>
  <c r="S460" i="10" l="1"/>
  <c r="R460" i="10"/>
  <c r="Q461" i="10"/>
  <c r="P462" i="10"/>
  <c r="R461" i="10" l="1"/>
  <c r="S461" i="10"/>
  <c r="Q462" i="10"/>
  <c r="P463" i="10"/>
  <c r="R462" i="10" l="1"/>
  <c r="S462" i="10"/>
  <c r="R463" i="10"/>
  <c r="Q463" i="10"/>
  <c r="S463" i="10" s="1"/>
  <c r="P464" i="10"/>
  <c r="Q464" i="10" l="1"/>
  <c r="P465" i="10"/>
  <c r="S464" i="10" l="1"/>
  <c r="R464" i="10"/>
  <c r="Q465" i="10"/>
  <c r="P466" i="10"/>
  <c r="R465" i="10" l="1"/>
  <c r="S465" i="10"/>
  <c r="P467" i="10"/>
  <c r="Q466" i="10"/>
  <c r="R466" i="10" l="1"/>
  <c r="S466" i="10"/>
  <c r="S467" i="10"/>
  <c r="P468" i="10"/>
  <c r="Q467" i="10"/>
  <c r="R467" i="10" s="1"/>
  <c r="R468" i="10" l="1"/>
  <c r="P469" i="10"/>
  <c r="Q468" i="10"/>
  <c r="S468" i="10" s="1"/>
  <c r="S469" i="10" l="1"/>
  <c r="R469" i="10"/>
  <c r="Q469" i="10"/>
  <c r="P470" i="10"/>
  <c r="Q470" i="10" l="1"/>
  <c r="P471" i="10"/>
  <c r="R470" i="10" l="1"/>
  <c r="S470" i="10"/>
  <c r="P472" i="10"/>
  <c r="Q471" i="10"/>
  <c r="S471" i="10" l="1"/>
  <c r="R471" i="10"/>
  <c r="P473" i="10"/>
  <c r="Q472" i="10"/>
  <c r="S472" i="10" l="1"/>
  <c r="R472" i="10"/>
  <c r="Q473" i="10"/>
  <c r="P474" i="10"/>
  <c r="S473" i="10" l="1"/>
  <c r="R473" i="10"/>
  <c r="P475" i="10"/>
  <c r="Q474" i="10"/>
  <c r="R474" i="10" l="1"/>
  <c r="S474" i="10"/>
  <c r="Q475" i="10"/>
  <c r="P476" i="10"/>
  <c r="S475" i="10" l="1"/>
  <c r="R475" i="10"/>
  <c r="P477" i="10"/>
  <c r="Q476" i="10"/>
  <c r="S476" i="10" l="1"/>
  <c r="R476" i="10"/>
  <c r="P478" i="10"/>
  <c r="Q477" i="10"/>
  <c r="S477" i="10" l="1"/>
  <c r="R477" i="10"/>
  <c r="Q478" i="10"/>
  <c r="P479" i="10"/>
  <c r="R478" i="10" l="1"/>
  <c r="S478" i="10"/>
  <c r="P480" i="10"/>
  <c r="Q479" i="10"/>
  <c r="R479" i="10" l="1"/>
  <c r="S479" i="10"/>
  <c r="Q480" i="10"/>
  <c r="P481" i="10"/>
  <c r="R480" i="10" l="1"/>
  <c r="S480" i="10"/>
  <c r="S481" i="10"/>
  <c r="Q481" i="10"/>
  <c r="R481" i="10" s="1"/>
  <c r="P482" i="10"/>
  <c r="P483" i="10" l="1"/>
  <c r="Q482" i="10"/>
  <c r="S482" i="10" l="1"/>
  <c r="R482" i="10"/>
  <c r="S483" i="10"/>
  <c r="R483" i="10"/>
  <c r="P484" i="10"/>
  <c r="Q483" i="10"/>
  <c r="Q484" i="10" l="1"/>
  <c r="P485" i="10"/>
  <c r="S484" i="10" l="1"/>
  <c r="R484" i="10"/>
  <c r="S485" i="10"/>
  <c r="R485" i="10"/>
  <c r="P486" i="10"/>
  <c r="Q485" i="10"/>
  <c r="Q486" i="10" l="1"/>
  <c r="P487" i="10"/>
  <c r="S486" i="10" l="1"/>
  <c r="R486" i="10"/>
  <c r="R487" i="10"/>
  <c r="S487" i="10"/>
  <c r="P488" i="10"/>
  <c r="Q487" i="10"/>
  <c r="Q488" i="10" l="1"/>
  <c r="P489" i="10"/>
  <c r="R488" i="10" l="1"/>
  <c r="S488" i="10"/>
  <c r="S489" i="10"/>
  <c r="R489" i="10"/>
  <c r="P490" i="10"/>
  <c r="Q489" i="10"/>
  <c r="Q490" i="10" l="1"/>
  <c r="P491" i="10"/>
  <c r="R490" i="10" l="1"/>
  <c r="S490" i="10"/>
  <c r="S491" i="10"/>
  <c r="R491" i="10"/>
  <c r="P492" i="10"/>
  <c r="Q491" i="10"/>
  <c r="Q492" i="10" l="1"/>
  <c r="P493" i="10"/>
  <c r="R492" i="10" l="1"/>
  <c r="S492" i="10"/>
  <c r="S493" i="10"/>
  <c r="Q493" i="10"/>
  <c r="R493" i="10" s="1"/>
  <c r="P494" i="10"/>
  <c r="S494" i="10" l="1"/>
  <c r="P495" i="10"/>
  <c r="Q494" i="10"/>
  <c r="R494" i="10" s="1"/>
  <c r="P496" i="10" l="1"/>
  <c r="Q495" i="10"/>
  <c r="R495" i="10" l="1"/>
  <c r="S495" i="10"/>
  <c r="Q496" i="10"/>
  <c r="P497" i="10"/>
  <c r="S496" i="10" l="1"/>
  <c r="R496" i="10"/>
  <c r="Q497" i="10"/>
  <c r="P498" i="10"/>
  <c r="R497" i="10" l="1"/>
  <c r="S497" i="10"/>
  <c r="Q498" i="10"/>
  <c r="P499" i="10"/>
  <c r="S498" i="10" l="1"/>
  <c r="R498" i="10"/>
  <c r="S499" i="10"/>
  <c r="Q499" i="10"/>
  <c r="R499" i="10" s="1"/>
  <c r="P500" i="10"/>
  <c r="Q500" i="10" l="1"/>
  <c r="P501" i="10"/>
  <c r="S500" i="10" l="1"/>
  <c r="R500" i="10"/>
  <c r="R501" i="10"/>
  <c r="P502" i="10"/>
  <c r="Q501" i="10"/>
  <c r="S501" i="10" s="1"/>
  <c r="R502" i="10" l="1"/>
  <c r="Q502" i="10"/>
  <c r="S502" i="10" s="1"/>
  <c r="P503" i="10"/>
  <c r="P504" i="10" l="1"/>
  <c r="Q503" i="10"/>
  <c r="S503" i="10" l="1"/>
  <c r="R503" i="10"/>
  <c r="Q504" i="10"/>
  <c r="P505" i="10"/>
  <c r="S504" i="10" l="1"/>
  <c r="R504" i="10"/>
  <c r="S505" i="10"/>
  <c r="P506" i="10"/>
  <c r="Q505" i="10"/>
  <c r="R505" i="10" s="1"/>
  <c r="Q506" i="10" l="1"/>
  <c r="P507" i="10"/>
  <c r="R506" i="10" l="1"/>
  <c r="S506" i="10"/>
  <c r="S507" i="10"/>
  <c r="P508" i="10"/>
  <c r="Q507" i="10"/>
  <c r="R507" i="10" s="1"/>
  <c r="S508" i="10" l="1"/>
  <c r="P509" i="10"/>
  <c r="Q508" i="10"/>
  <c r="R508" i="10" s="1"/>
  <c r="P510" i="10" l="1"/>
  <c r="Q509" i="10"/>
  <c r="S509" i="10" l="1"/>
  <c r="R509" i="10"/>
  <c r="P511" i="10"/>
  <c r="Q510" i="10"/>
  <c r="S511" i="10" l="1"/>
  <c r="R511" i="10"/>
  <c r="R510" i="10"/>
  <c r="S510" i="10"/>
  <c r="P512" i="10"/>
  <c r="Q511" i="10"/>
  <c r="Q512" i="10" l="1"/>
  <c r="P513" i="10"/>
  <c r="S512" i="10" l="1"/>
  <c r="R512" i="10"/>
  <c r="S513" i="10"/>
  <c r="P514" i="10"/>
  <c r="Q513" i="10"/>
  <c r="R513" i="10" s="1"/>
  <c r="Q514" i="10" l="1"/>
  <c r="P515" i="10"/>
  <c r="S514" i="10" l="1"/>
  <c r="R514" i="10"/>
  <c r="Q515" i="10"/>
  <c r="P516" i="10"/>
  <c r="R515" i="10" l="1"/>
  <c r="S515" i="10"/>
  <c r="S516" i="10"/>
  <c r="Q516" i="10"/>
  <c r="R516" i="10" s="1"/>
  <c r="P517" i="10"/>
  <c r="R517" i="10" l="1"/>
  <c r="S517" i="10"/>
  <c r="Q517" i="10"/>
  <c r="P518" i="10"/>
  <c r="Q518" i="10" l="1"/>
  <c r="P519" i="10"/>
  <c r="S518" i="10" l="1"/>
  <c r="R518" i="10"/>
  <c r="S519" i="10"/>
  <c r="Q519" i="10"/>
  <c r="R519" i="10" s="1"/>
  <c r="P520" i="10"/>
  <c r="Q520" i="10" l="1"/>
  <c r="P521" i="10"/>
  <c r="S520" i="10" l="1"/>
  <c r="R520" i="10"/>
  <c r="Q521" i="10"/>
  <c r="P522" i="10"/>
  <c r="S521" i="10" l="1"/>
  <c r="R521" i="10"/>
  <c r="Q522" i="10"/>
  <c r="P523" i="10"/>
  <c r="S522" i="10" l="1"/>
  <c r="R522" i="10"/>
  <c r="Q523" i="10"/>
  <c r="P524" i="10"/>
  <c r="S523" i="10" l="1"/>
  <c r="R523" i="10"/>
  <c r="Q524" i="10"/>
  <c r="P525" i="10"/>
  <c r="S524" i="10" l="1"/>
  <c r="R524" i="10"/>
  <c r="R525" i="10"/>
  <c r="Q525" i="10"/>
  <c r="S525" i="10" s="1"/>
  <c r="P526" i="10"/>
  <c r="Q526" i="10" l="1"/>
  <c r="P527" i="10"/>
  <c r="S526" i="10" l="1"/>
  <c r="R526" i="10"/>
  <c r="P528" i="10"/>
  <c r="Q527" i="10"/>
  <c r="S527" i="10" l="1"/>
  <c r="R527" i="10"/>
  <c r="P529" i="10"/>
  <c r="Q528" i="10"/>
  <c r="S529" i="10" l="1"/>
  <c r="R528" i="10"/>
  <c r="S528" i="10"/>
  <c r="Q529" i="10"/>
  <c r="R529" i="10" s="1"/>
  <c r="P530" i="10"/>
  <c r="R530" i="10" l="1"/>
  <c r="S530" i="10"/>
  <c r="P531" i="10"/>
  <c r="Q530" i="10"/>
  <c r="S531" i="10" l="1"/>
  <c r="P532" i="10"/>
  <c r="Q531" i="10"/>
  <c r="R531" i="10" s="1"/>
  <c r="P533" i="10" l="1"/>
  <c r="Q532" i="10"/>
  <c r="R532" i="10" l="1"/>
  <c r="S532" i="10"/>
  <c r="P534" i="10"/>
  <c r="Q533" i="10"/>
  <c r="R533" i="10" l="1"/>
  <c r="S533" i="10"/>
  <c r="Q534" i="10"/>
  <c r="P535" i="10"/>
  <c r="R534" i="10" l="1"/>
  <c r="S534" i="10"/>
  <c r="Q535" i="10"/>
  <c r="P536" i="10"/>
  <c r="R535" i="10" l="1"/>
  <c r="S535" i="10"/>
  <c r="Q536" i="10"/>
  <c r="P537" i="10"/>
  <c r="R536" i="10" l="1"/>
  <c r="S536" i="10"/>
  <c r="P538" i="10"/>
  <c r="Q537" i="10"/>
  <c r="S537" i="10" l="1"/>
  <c r="R537" i="10"/>
  <c r="Q538" i="10"/>
  <c r="P539" i="10"/>
  <c r="R538" i="10" l="1"/>
  <c r="S538" i="10"/>
  <c r="P540" i="10"/>
  <c r="Q539" i="10"/>
  <c r="R539" i="10" l="1"/>
  <c r="S539" i="10"/>
  <c r="Q540" i="10"/>
  <c r="P541" i="10"/>
  <c r="R540" i="10" l="1"/>
  <c r="S540" i="10"/>
  <c r="Q541" i="10"/>
  <c r="P542" i="10"/>
  <c r="R541" i="10" l="1"/>
  <c r="S541" i="10"/>
  <c r="P543" i="10"/>
  <c r="Q542" i="10"/>
  <c r="S543" i="10" l="1"/>
  <c r="R543" i="10"/>
  <c r="R542" i="10"/>
  <c r="S542" i="10"/>
  <c r="Q543" i="10"/>
  <c r="P544" i="10"/>
  <c r="P545" i="10" l="1"/>
  <c r="Q544" i="10"/>
  <c r="S544" i="10" l="1"/>
  <c r="R544" i="10"/>
  <c r="P546" i="10"/>
  <c r="Q545" i="10"/>
  <c r="S545" i="10" l="1"/>
  <c r="R545" i="10"/>
  <c r="Q546" i="10"/>
  <c r="P547" i="10"/>
  <c r="S546" i="10" l="1"/>
  <c r="R546" i="10"/>
  <c r="R547" i="10"/>
  <c r="Q547" i="10"/>
  <c r="S547" i="10" s="1"/>
  <c r="P548" i="10"/>
  <c r="Q548" i="10" l="1"/>
  <c r="P549" i="10"/>
  <c r="R548" i="10" l="1"/>
  <c r="S548" i="10"/>
  <c r="Q549" i="10"/>
  <c r="P550" i="10"/>
  <c r="S549" i="10" l="1"/>
  <c r="R549" i="10"/>
  <c r="P551" i="10"/>
  <c r="Q550" i="10"/>
  <c r="S551" i="10" l="1"/>
  <c r="R551" i="10"/>
  <c r="S550" i="10"/>
  <c r="R550" i="10"/>
  <c r="Q551" i="10"/>
  <c r="P552" i="10"/>
  <c r="P553" i="10" l="1"/>
  <c r="Q552" i="10"/>
  <c r="S552" i="10" l="1"/>
  <c r="R552" i="10"/>
  <c r="Q553" i="10"/>
  <c r="P554" i="10"/>
  <c r="S553" i="10" l="1"/>
  <c r="R553" i="10"/>
  <c r="S554" i="10"/>
  <c r="R554" i="10"/>
  <c r="Q554" i="10"/>
  <c r="P555" i="10"/>
  <c r="P556" i="10" l="1"/>
  <c r="Q555" i="10"/>
  <c r="Q556" i="10" l="1"/>
  <c r="R556" i="10"/>
  <c r="S556" i="10"/>
  <c r="S555" i="10"/>
  <c r="R555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<sst xmlns="http://schemas.openxmlformats.org/spreadsheetml/2006/main" count="68" uniqueCount="29">
  <si>
    <t>Date</t>
  </si>
  <si>
    <t>Food&amp;Bev.</t>
  </si>
  <si>
    <t>Chemical</t>
  </si>
  <si>
    <t>Oil</t>
  </si>
  <si>
    <t>Manuf.</t>
  </si>
  <si>
    <t>Utilities</t>
  </si>
  <si>
    <t>Retail</t>
  </si>
  <si>
    <t>Financial</t>
  </si>
  <si>
    <t xml:space="preserve">Mean </t>
  </si>
  <si>
    <t>MVP</t>
  </si>
  <si>
    <t>Risk-free rate</t>
  </si>
  <si>
    <t xml:space="preserve"> (assuming the risk-free rate is the 1-month T-bill rate)</t>
  </si>
  <si>
    <t>Inverted Covariance Matrix</t>
  </si>
  <si>
    <t>Stdev.</t>
  </si>
  <si>
    <t>Covariance Matrix</t>
  </si>
  <si>
    <t>E[R]</t>
  </si>
  <si>
    <t>Sharpe ratio</t>
  </si>
  <si>
    <t>Variance</t>
  </si>
  <si>
    <t>Summary Statistics</t>
  </si>
  <si>
    <t>Matrix Products</t>
  </si>
  <si>
    <t>MVP Weights</t>
  </si>
  <si>
    <t>Expected Ret.</t>
  </si>
  <si>
    <t>St.dev.</t>
  </si>
  <si>
    <t>Tangent Weights</t>
  </si>
  <si>
    <t>Tangent</t>
  </si>
  <si>
    <t>st.dev.</t>
  </si>
  <si>
    <t>COV(MVP,T)</t>
  </si>
  <si>
    <t>weight_MVP</t>
  </si>
  <si>
    <t>weight_T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</si>
</sst>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1" fillId="0" borderId="0" xfId="0" applyFont="1"/>
    <xf numFmtId="10" fontId="0" fillId="0" borderId="0" xfId="0" applyNumberFormat="1"/>
    <xf numFmtId="0" fontId="1" fillId="0" borderId="1" xfId="0" applyFont="1" applyBorder="1" applyAlignment="1">
      <alignment horizontal="right"/>
    </xf>
    <xf numFmtId="17" fontId="0" fillId="0" borderId="0" xfId="0" applyNumberFormat="1"/>
    <xf numFmtId="10" fontId="1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0" fillId="2" borderId="3" xfId="0" applyFill="1" applyBorder="1"/>
    <xf numFmtId="10" fontId="0" fillId="2" borderId="3" xfId="0" applyNumberFormat="1" applyFill="1" applyBorder="1"/>
    <xf numFmtId="0" fontId="1" fillId="2" borderId="3" xfId="0" applyFont="1" applyFill="1" applyBorder="1"/>
    <xf numFmtId="10" fontId="1" fillId="2" borderId="3" xfId="0" applyNumberFormat="1" applyFont="1" applyFill="1" applyBorder="1"/>
    <xf numFmtId="0" fontId="3" fillId="3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0" fontId="0" fillId="3" borderId="3" xfId="0" applyFill="1" applyBorder="1"/>
    <xf numFmtId="0" fontId="0" fillId="4" borderId="3" xfId="0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5" borderId="5" xfId="0" applyFont="1" applyFill="1" applyBorder="1"/>
    <xf numFmtId="10" fontId="2" fillId="5" borderId="2" xfId="0" applyNumberFormat="1" applyFont="1" applyFill="1" applyBorder="1"/>
    <xf numFmtId="0" fontId="0" fillId="4" borderId="5" xfId="0" applyFill="1" applyBorder="1"/>
    <xf numFmtId="0" fontId="0" fillId="4" borderId="7" xfId="0" applyFill="1" applyBorder="1"/>
    <xf numFmtId="0" fontId="0" fillId="6" borderId="3" xfId="0" applyFill="1" applyBorder="1" applyAlignment="1">
      <alignment horizontal="left"/>
    </xf>
    <xf numFmtId="0" fontId="0" fillId="6" borderId="7" xfId="0" applyFill="1" applyBorder="1" applyAlignment="1">
      <alignment horizontal="left"/>
    </xf>
    <xf numFmtId="0" fontId="0" fillId="6" borderId="3" xfId="0" applyFill="1" applyBorder="1"/>
    <xf numFmtId="0" fontId="2" fillId="6" borderId="3" xfId="0" applyFont="1" applyFill="1" applyBorder="1"/>
    <xf numFmtId="0" fontId="0" fillId="6" borderId="5" xfId="0" applyFill="1" applyBorder="1"/>
    <xf numFmtId="0" fontId="0" fillId="6" borderId="7" xfId="0" applyFill="1" applyBorder="1"/>
    <xf numFmtId="10" fontId="0" fillId="6" borderId="3" xfId="0" applyNumberFormat="1" applyFill="1" applyBorder="1"/>
    <xf numFmtId="10" fontId="0" fillId="6" borderId="5" xfId="0" applyNumberFormat="1" applyFill="1" applyBorder="1"/>
    <xf numFmtId="10" fontId="0" fillId="6" borderId="7" xfId="0" applyNumberFormat="1" applyFill="1" applyBorder="1"/>
    <xf numFmtId="0" fontId="2" fillId="7" borderId="5" xfId="0" applyFont="1" applyFill="1" applyBorder="1"/>
    <xf numFmtId="10" fontId="2" fillId="7" borderId="2" xfId="0" applyNumberFormat="1" applyFont="1" applyFill="1" applyBorder="1"/>
    <xf numFmtId="0" fontId="2" fillId="7" borderId="7" xfId="0" applyFont="1" applyFill="1" applyBorder="1"/>
    <xf numFmtId="10" fontId="2" fillId="7" borderId="9" xfId="0" applyNumberFormat="1" applyFont="1" applyFill="1" applyBorder="1"/>
    <xf numFmtId="0" fontId="2" fillId="4" borderId="6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Normal" xfId="0" builtinId="0"/>
    <cellStyle name="Normal 2" xfId="1" xr:uid="{F37DC559-2E9E-924A-A713-F9DD5736EB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Mean-Variance Efficient Frontier for Industries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xVal>
            <c:numRef>
              <c:f>Industries_!$S$56:$S$556</c:f>
              <c:numCache>
                <c:formatCode>General</c:formatCode>
                <c:ptCount val="501"/>
                <c:pt idx="0">
                  <c:v>2.7031634322266886E-2</c:v>
                </c:pt>
                <c:pt idx="1">
                  <c:v>2.6903299606460866E-2</c:v>
                </c:pt>
                <c:pt idx="2">
                  <c:v>2.6775286128992298E-2</c:v>
                </c:pt>
                <c:pt idx="3">
                  <c:v>2.6647593889861168E-2</c:v>
                </c:pt>
                <c:pt idx="4">
                  <c:v>2.6520222889067458E-2</c:v>
                </c:pt>
                <c:pt idx="5">
                  <c:v>2.6393173126611193E-2</c:v>
                </c:pt>
                <c:pt idx="6">
                  <c:v>2.6266444602492368E-2</c:v>
                </c:pt>
                <c:pt idx="7">
                  <c:v>2.6140037316710978E-2</c:v>
                </c:pt>
                <c:pt idx="8">
                  <c:v>2.6013951269267022E-2</c:v>
                </c:pt>
                <c:pt idx="9">
                  <c:v>2.5888186460160504E-2</c:v>
                </c:pt>
                <c:pt idx="10">
                  <c:v>2.576274288939143E-2</c:v>
                </c:pt>
                <c:pt idx="11">
                  <c:v>2.5637620556959784E-2</c:v>
                </c:pt>
                <c:pt idx="12">
                  <c:v>2.5512819462865578E-2</c:v>
                </c:pt>
                <c:pt idx="13">
                  <c:v>2.5388339607108804E-2</c:v>
                </c:pt>
                <c:pt idx="14">
                  <c:v>2.5264180989689473E-2</c:v>
                </c:pt>
                <c:pt idx="15">
                  <c:v>2.5140343610607577E-2</c:v>
                </c:pt>
                <c:pt idx="16">
                  <c:v>2.5016827469863126E-2</c:v>
                </c:pt>
                <c:pt idx="17">
                  <c:v>2.4893632567456095E-2</c:v>
                </c:pt>
                <c:pt idx="18">
                  <c:v>2.4770758903386515E-2</c:v>
                </c:pt>
                <c:pt idx="19">
                  <c:v>2.4648206477654359E-2</c:v>
                </c:pt>
                <c:pt idx="20">
                  <c:v>2.4525975290259648E-2</c:v>
                </c:pt>
                <c:pt idx="21">
                  <c:v>2.4404065341202378E-2</c:v>
                </c:pt>
                <c:pt idx="22">
                  <c:v>2.4282476630482538E-2</c:v>
                </c:pt>
                <c:pt idx="23">
                  <c:v>2.416120915810014E-2</c:v>
                </c:pt>
                <c:pt idx="24">
                  <c:v>2.4040262924055176E-2</c:v>
                </c:pt>
                <c:pt idx="25">
                  <c:v>2.3919637928347646E-2</c:v>
                </c:pt>
                <c:pt idx="26">
                  <c:v>2.379933417097756E-2</c:v>
                </c:pt>
                <c:pt idx="27">
                  <c:v>2.3679351651944906E-2</c:v>
                </c:pt>
                <c:pt idx="28">
                  <c:v>2.3559690371249681E-2</c:v>
                </c:pt>
                <c:pt idx="29">
                  <c:v>2.3440350328891902E-2</c:v>
                </c:pt>
                <c:pt idx="30">
                  <c:v>2.332133152487156E-2</c:v>
                </c:pt>
                <c:pt idx="31">
                  <c:v>2.3202633959188649E-2</c:v>
                </c:pt>
                <c:pt idx="32">
                  <c:v>2.3084257631843186E-2</c:v>
                </c:pt>
                <c:pt idx="33">
                  <c:v>2.2966202542835143E-2</c:v>
                </c:pt>
                <c:pt idx="34">
                  <c:v>2.2848468692164555E-2</c:v>
                </c:pt>
                <c:pt idx="35">
                  <c:v>2.2731056079831391E-2</c:v>
                </c:pt>
                <c:pt idx="36">
                  <c:v>2.2613964705835671E-2</c:v>
                </c:pt>
                <c:pt idx="37">
                  <c:v>2.2497194570177386E-2</c:v>
                </c:pt>
                <c:pt idx="38">
                  <c:v>2.2380745672856538E-2</c:v>
                </c:pt>
                <c:pt idx="39">
                  <c:v>2.2264618013873118E-2</c:v>
                </c:pt>
                <c:pt idx="40">
                  <c:v>2.2148811593227149E-2</c:v>
                </c:pt>
                <c:pt idx="41">
                  <c:v>2.2033326410918607E-2</c:v>
                </c:pt>
                <c:pt idx="42">
                  <c:v>2.1918162466947499E-2</c:v>
                </c:pt>
                <c:pt idx="43">
                  <c:v>2.180331976131384E-2</c:v>
                </c:pt>
                <c:pt idx="44">
                  <c:v>2.1688798294017608E-2</c:v>
                </c:pt>
                <c:pt idx="45">
                  <c:v>2.157459806505882E-2</c:v>
                </c:pt>
                <c:pt idx="46">
                  <c:v>2.1460719074437466E-2</c:v>
                </c:pt>
                <c:pt idx="47">
                  <c:v>2.134716132215355E-2</c:v>
                </c:pt>
                <c:pt idx="48">
                  <c:v>2.1233924808207065E-2</c:v>
                </c:pt>
                <c:pt idx="49">
                  <c:v>2.1121009532598017E-2</c:v>
                </c:pt>
                <c:pt idx="50">
                  <c:v>2.1008415495326418E-2</c:v>
                </c:pt>
                <c:pt idx="51">
                  <c:v>2.0896142696392245E-2</c:v>
                </c:pt>
                <c:pt idx="52">
                  <c:v>2.0784191135795514E-2</c:v>
                </c:pt>
                <c:pt idx="53">
                  <c:v>2.0672560813536221E-2</c:v>
                </c:pt>
                <c:pt idx="54">
                  <c:v>2.0561251729614351E-2</c:v>
                </c:pt>
                <c:pt idx="55">
                  <c:v>2.0450263884029932E-2</c:v>
                </c:pt>
                <c:pt idx="56">
                  <c:v>2.0339597276782945E-2</c:v>
                </c:pt>
                <c:pt idx="57">
                  <c:v>2.0229251907873391E-2</c:v>
                </c:pt>
                <c:pt idx="58">
                  <c:v>2.0119227777301282E-2</c:v>
                </c:pt>
                <c:pt idx="59">
                  <c:v>2.0009524885066608E-2</c:v>
                </c:pt>
                <c:pt idx="60">
                  <c:v>1.9900143231169367E-2</c:v>
                </c:pt>
                <c:pt idx="61">
                  <c:v>1.9791082815609568E-2</c:v>
                </c:pt>
                <c:pt idx="62">
                  <c:v>1.9682343638387195E-2</c:v>
                </c:pt>
                <c:pt idx="63">
                  <c:v>1.9573925699502268E-2</c:v>
                </c:pt>
                <c:pt idx="64">
                  <c:v>1.9465828998954774E-2</c:v>
                </c:pt>
                <c:pt idx="65">
                  <c:v>1.9358053536744718E-2</c:v>
                </c:pt>
                <c:pt idx="66">
                  <c:v>1.9250599312872096E-2</c:v>
                </c:pt>
                <c:pt idx="67">
                  <c:v>1.9143466327336923E-2</c:v>
                </c:pt>
                <c:pt idx="68">
                  <c:v>1.903665458013918E-2</c:v>
                </c:pt>
                <c:pt idx="69">
                  <c:v>1.8930164071278868E-2</c:v>
                </c:pt>
                <c:pt idx="70">
                  <c:v>1.8823994800755993E-2</c:v>
                </c:pt>
                <c:pt idx="71">
                  <c:v>1.8718146768570559E-2</c:v>
                </c:pt>
                <c:pt idx="72">
                  <c:v>1.8612619974722567E-2</c:v>
                </c:pt>
                <c:pt idx="73">
                  <c:v>1.8507414419212005E-2</c:v>
                </c:pt>
                <c:pt idx="74">
                  <c:v>1.8402530102038881E-2</c:v>
                </c:pt>
                <c:pt idx="75">
                  <c:v>1.8297967023203195E-2</c:v>
                </c:pt>
                <c:pt idx="76">
                  <c:v>1.8193725182704942E-2</c:v>
                </c:pt>
                <c:pt idx="77">
                  <c:v>1.8089804580544131E-2</c:v>
                </c:pt>
                <c:pt idx="78">
                  <c:v>1.7986205216720758E-2</c:v>
                </c:pt>
                <c:pt idx="79">
                  <c:v>1.7882927091234815E-2</c:v>
                </c:pt>
                <c:pt idx="80">
                  <c:v>1.7779970204086316E-2</c:v>
                </c:pt>
                <c:pt idx="81">
                  <c:v>1.7677334555275245E-2</c:v>
                </c:pt>
                <c:pt idx="82">
                  <c:v>1.7575020144801619E-2</c:v>
                </c:pt>
                <c:pt idx="83">
                  <c:v>1.7473026972665423E-2</c:v>
                </c:pt>
                <c:pt idx="84">
                  <c:v>1.7371355038866668E-2</c:v>
                </c:pt>
                <c:pt idx="85">
                  <c:v>1.7270004343405358E-2</c:v>
                </c:pt>
                <c:pt idx="86">
                  <c:v>1.7168974886281475E-2</c:v>
                </c:pt>
                <c:pt idx="87">
                  <c:v>1.7068266667495023E-2</c:v>
                </c:pt>
                <c:pt idx="88">
                  <c:v>1.6967879687046012E-2</c:v>
                </c:pt>
                <c:pt idx="89">
                  <c:v>1.6867813944934442E-2</c:v>
                </c:pt>
                <c:pt idx="90">
                  <c:v>1.676806944116031E-2</c:v>
                </c:pt>
                <c:pt idx="91">
                  <c:v>1.6668646175723618E-2</c:v>
                </c:pt>
                <c:pt idx="92">
                  <c:v>1.6569544148624347E-2</c:v>
                </c:pt>
                <c:pt idx="93">
                  <c:v>1.6470763359862525E-2</c:v>
                </c:pt>
                <c:pt idx="94">
                  <c:v>1.6372303809438139E-2</c:v>
                </c:pt>
                <c:pt idx="95">
                  <c:v>1.6274165497351185E-2</c:v>
                </c:pt>
                <c:pt idx="96">
                  <c:v>1.6176348423601671E-2</c:v>
                </c:pt>
                <c:pt idx="97">
                  <c:v>1.6078852588189595E-2</c:v>
                </c:pt>
                <c:pt idx="98">
                  <c:v>1.5981677991114954E-2</c:v>
                </c:pt>
                <c:pt idx="99">
                  <c:v>1.588482463237775E-2</c:v>
                </c:pt>
                <c:pt idx="100">
                  <c:v>1.5788292511977983E-2</c:v>
                </c:pt>
                <c:pt idx="101">
                  <c:v>1.5692081629915661E-2</c:v>
                </c:pt>
                <c:pt idx="102">
                  <c:v>1.5596191986190763E-2</c:v>
                </c:pt>
                <c:pt idx="103">
                  <c:v>1.5500623580803298E-2</c:v>
                </c:pt>
                <c:pt idx="104">
                  <c:v>1.5405376413753282E-2</c:v>
                </c:pt>
                <c:pt idx="105">
                  <c:v>1.53104504850407E-2</c:v>
                </c:pt>
                <c:pt idx="106">
                  <c:v>1.5215845794665549E-2</c:v>
                </c:pt>
                <c:pt idx="107">
                  <c:v>1.5121562342627839E-2</c:v>
                </c:pt>
                <c:pt idx="108">
                  <c:v>1.5027600128927563E-2</c:v>
                </c:pt>
                <c:pt idx="109">
                  <c:v>1.4933959153564727E-2</c:v>
                </c:pt>
                <c:pt idx="110">
                  <c:v>1.4840639416539325E-2</c:v>
                </c:pt>
                <c:pt idx="111">
                  <c:v>1.4747640917851357E-2</c:v>
                </c:pt>
                <c:pt idx="112">
                  <c:v>1.4654963657500839E-2</c:v>
                </c:pt>
                <c:pt idx="113">
                  <c:v>1.4562607635487753E-2</c:v>
                </c:pt>
                <c:pt idx="114">
                  <c:v>1.4470572851812096E-2</c:v>
                </c:pt>
                <c:pt idx="115">
                  <c:v>1.4378859306473877E-2</c:v>
                </c:pt>
                <c:pt idx="116">
                  <c:v>1.42874669994731E-2</c:v>
                </c:pt>
                <c:pt idx="117">
                  <c:v>1.4196395930809758E-2</c:v>
                </c:pt>
                <c:pt idx="118">
                  <c:v>1.410564610048385E-2</c:v>
                </c:pt>
                <c:pt idx="119">
                  <c:v>1.4015217508495379E-2</c:v>
                </c:pt>
                <c:pt idx="120">
                  <c:v>1.3925110154844347E-2</c:v>
                </c:pt>
                <c:pt idx="121">
                  <c:v>1.3835324039530758E-2</c:v>
                </c:pt>
                <c:pt idx="122">
                  <c:v>1.3745859162554599E-2</c:v>
                </c:pt>
                <c:pt idx="123">
                  <c:v>1.3656715523915871E-2</c:v>
                </c:pt>
                <c:pt idx="124">
                  <c:v>1.356789312361459E-2</c:v>
                </c:pt>
                <c:pt idx="125">
                  <c:v>1.3479391961650742E-2</c:v>
                </c:pt>
                <c:pt idx="126">
                  <c:v>1.3391212038024328E-2</c:v>
                </c:pt>
                <c:pt idx="127">
                  <c:v>1.3303353352735359E-2</c:v>
                </c:pt>
                <c:pt idx="128">
                  <c:v>1.321581590578382E-2</c:v>
                </c:pt>
                <c:pt idx="129">
                  <c:v>1.3128599697169721E-2</c:v>
                </c:pt>
                <c:pt idx="130">
                  <c:v>1.3041704726893056E-2</c:v>
                </c:pt>
                <c:pt idx="131">
                  <c:v>1.2955130994953828E-2</c:v>
                </c:pt>
                <c:pt idx="132">
                  <c:v>1.286887850135204E-2</c:v>
                </c:pt>
                <c:pt idx="133">
                  <c:v>1.2782947246087688E-2</c:v>
                </c:pt>
                <c:pt idx="134">
                  <c:v>1.2697337229160768E-2</c:v>
                </c:pt>
                <c:pt idx="135">
                  <c:v>1.2612048450571288E-2</c:v>
                </c:pt>
                <c:pt idx="136">
                  <c:v>1.2527080910319248E-2</c:v>
                </c:pt>
                <c:pt idx="137">
                  <c:v>1.2442434608404645E-2</c:v>
                </c:pt>
                <c:pt idx="138">
                  <c:v>1.2358109544827474E-2</c:v>
                </c:pt>
                <c:pt idx="139">
                  <c:v>1.2274105719587737E-2</c:v>
                </c:pt>
                <c:pt idx="140">
                  <c:v>1.2190423132685441E-2</c:v>
                </c:pt>
                <c:pt idx="141">
                  <c:v>1.2107061784120587E-2</c:v>
                </c:pt>
                <c:pt idx="142">
                  <c:v>1.2024021673893165E-2</c:v>
                </c:pt>
                <c:pt idx="143">
                  <c:v>1.1941302802003175E-2</c:v>
                </c:pt>
                <c:pt idx="144">
                  <c:v>1.1858905168450631E-2</c:v>
                </c:pt>
                <c:pt idx="145">
                  <c:v>1.1776828773235519E-2</c:v>
                </c:pt>
                <c:pt idx="146">
                  <c:v>1.1695073616357845E-2</c:v>
                </c:pt>
                <c:pt idx="147">
                  <c:v>1.1613639697817608E-2</c:v>
                </c:pt>
                <c:pt idx="148">
                  <c:v>1.1532527017614808E-2</c:v>
                </c:pt>
                <c:pt idx="149">
                  <c:v>1.1451735575749447E-2</c:v>
                </c:pt>
                <c:pt idx="150">
                  <c:v>1.1371265372221518E-2</c:v>
                </c:pt>
                <c:pt idx="151">
                  <c:v>1.1291116407031026E-2</c:v>
                </c:pt>
                <c:pt idx="152">
                  <c:v>1.1211288680177975E-2</c:v>
                </c:pt>
                <c:pt idx="153">
                  <c:v>1.1131782191662358E-2</c:v>
                </c:pt>
                <c:pt idx="154">
                  <c:v>1.1052596941484177E-2</c:v>
                </c:pt>
                <c:pt idx="155">
                  <c:v>1.0973732929643432E-2</c:v>
                </c:pt>
                <c:pt idx="156">
                  <c:v>1.0895190156140129E-2</c:v>
                </c:pt>
                <c:pt idx="157">
                  <c:v>1.0816968620974261E-2</c:v>
                </c:pt>
                <c:pt idx="158">
                  <c:v>1.0739068324145829E-2</c:v>
                </c:pt>
                <c:pt idx="159">
                  <c:v>1.0661489265654826E-2</c:v>
                </c:pt>
                <c:pt idx="160">
                  <c:v>1.0584231445501271E-2</c:v>
                </c:pt>
                <c:pt idx="161">
                  <c:v>1.0507294863685152E-2</c:v>
                </c:pt>
                <c:pt idx="162">
                  <c:v>1.0430679520206468E-2</c:v>
                </c:pt>
                <c:pt idx="163">
                  <c:v>1.0354385415065212E-2</c:v>
                </c:pt>
                <c:pt idx="164">
                  <c:v>1.0278412548261406E-2</c:v>
                </c:pt>
                <c:pt idx="165">
                  <c:v>1.0202760919795032E-2</c:v>
                </c:pt>
                <c:pt idx="166">
                  <c:v>1.0127430529666094E-2</c:v>
                </c:pt>
                <c:pt idx="167">
                  <c:v>1.005242137787459E-2</c:v>
                </c:pt>
                <c:pt idx="168">
                  <c:v>9.9777334644205271E-3</c:v>
                </c:pt>
                <c:pt idx="169">
                  <c:v>9.9033667893039055E-3</c:v>
                </c:pt>
                <c:pt idx="170">
                  <c:v>9.8293213525247111E-3</c:v>
                </c:pt>
                <c:pt idx="171">
                  <c:v>9.755597154082956E-3</c:v>
                </c:pt>
                <c:pt idx="172">
                  <c:v>9.6821941939786403E-3</c:v>
                </c:pt>
                <c:pt idx="173">
                  <c:v>9.6091124722117623E-3</c:v>
                </c:pt>
                <c:pt idx="174">
                  <c:v>9.5363519887823149E-3</c:v>
                </c:pt>
                <c:pt idx="175">
                  <c:v>9.4639127436903121E-3</c:v>
                </c:pt>
                <c:pt idx="176">
                  <c:v>9.3917947369357383E-3</c:v>
                </c:pt>
                <c:pt idx="177">
                  <c:v>9.3199979685186125E-3</c:v>
                </c:pt>
                <c:pt idx="178">
                  <c:v>9.2485224384389123E-3</c:v>
                </c:pt>
                <c:pt idx="179">
                  <c:v>9.1773681466966496E-3</c:v>
                </c:pt>
                <c:pt idx="180">
                  <c:v>9.1065350932918333E-3</c:v>
                </c:pt>
                <c:pt idx="181">
                  <c:v>9.0360232782244494E-3</c:v>
                </c:pt>
                <c:pt idx="182">
                  <c:v>8.9658327014944979E-3</c:v>
                </c:pt>
                <c:pt idx="183">
                  <c:v>8.8959633631019858E-3</c:v>
                </c:pt>
                <c:pt idx="184">
                  <c:v>8.8264152630469113E-3</c:v>
                </c:pt>
                <c:pt idx="185">
                  <c:v>8.7571884013292779E-3</c:v>
                </c:pt>
                <c:pt idx="186">
                  <c:v>8.6882827779490718E-3</c:v>
                </c:pt>
                <c:pt idx="187">
                  <c:v>8.6196983929063033E-3</c:v>
                </c:pt>
                <c:pt idx="188">
                  <c:v>8.5514352462009793E-3</c:v>
                </c:pt>
                <c:pt idx="189">
                  <c:v>8.483493337833093E-3</c:v>
                </c:pt>
                <c:pt idx="190">
                  <c:v>8.4158726678026374E-3</c:v>
                </c:pt>
                <c:pt idx="191">
                  <c:v>8.3485732361096177E-3</c:v>
                </c:pt>
                <c:pt idx="192">
                  <c:v>8.2815950427540391E-3</c:v>
                </c:pt>
                <c:pt idx="193">
                  <c:v>8.2149380877358982E-3</c:v>
                </c:pt>
                <c:pt idx="194">
                  <c:v>8.1486023710551896E-3</c:v>
                </c:pt>
                <c:pt idx="195">
                  <c:v>8.082587892711917E-3</c:v>
                </c:pt>
                <c:pt idx="196">
                  <c:v>8.0168946527060872E-3</c:v>
                </c:pt>
                <c:pt idx="197">
                  <c:v>7.951522651037695E-3</c:v>
                </c:pt>
                <c:pt idx="198">
                  <c:v>7.8864718877067301E-3</c:v>
                </c:pt>
                <c:pt idx="199">
                  <c:v>7.8217423627132097E-3</c:v>
                </c:pt>
                <c:pt idx="200">
                  <c:v>7.7573340760571236E-3</c:v>
                </c:pt>
                <c:pt idx="201">
                  <c:v>7.6932470277384759E-3</c:v>
                </c:pt>
                <c:pt idx="202">
                  <c:v>7.6294812177572632E-3</c:v>
                </c:pt>
                <c:pt idx="203">
                  <c:v>7.5660366461134899E-3</c:v>
                </c:pt>
                <c:pt idx="204">
                  <c:v>7.5029133128071517E-3</c:v>
                </c:pt>
                <c:pt idx="205">
                  <c:v>7.440111217838251E-3</c:v>
                </c:pt>
                <c:pt idx="206">
                  <c:v>7.3776303612067846E-3</c:v>
                </c:pt>
                <c:pt idx="207">
                  <c:v>7.3154707429127584E-3</c:v>
                </c:pt>
                <c:pt idx="208">
                  <c:v>7.253632362956168E-3</c:v>
                </c:pt>
                <c:pt idx="209">
                  <c:v>7.1921152213370136E-3</c:v>
                </c:pt>
                <c:pt idx="210">
                  <c:v>7.130919318055296E-3</c:v>
                </c:pt>
                <c:pt idx="211">
                  <c:v>7.0700446531110159E-3</c:v>
                </c:pt>
                <c:pt idx="212">
                  <c:v>7.0094912265041727E-3</c:v>
                </c:pt>
                <c:pt idx="213">
                  <c:v>6.9492590382347671E-3</c:v>
                </c:pt>
                <c:pt idx="214">
                  <c:v>6.8893480883027974E-3</c:v>
                </c:pt>
                <c:pt idx="215">
                  <c:v>6.8297583767082618E-3</c:v>
                </c:pt>
                <c:pt idx="216">
                  <c:v>6.7704899034511674E-3</c:v>
                </c:pt>
                <c:pt idx="217">
                  <c:v>6.711542668531508E-3</c:v>
                </c:pt>
                <c:pt idx="218">
                  <c:v>6.6529166719492862E-3</c:v>
                </c:pt>
                <c:pt idx="219">
                  <c:v>6.5946119137044994E-3</c:v>
                </c:pt>
                <c:pt idx="220">
                  <c:v>6.5366283937971521E-3</c:v>
                </c:pt>
                <c:pt idx="221">
                  <c:v>6.4789661122272389E-3</c:v>
                </c:pt>
                <c:pt idx="222">
                  <c:v>6.4216250689947633E-3</c:v>
                </c:pt>
                <c:pt idx="223">
                  <c:v>6.3646052640997271E-3</c:v>
                </c:pt>
                <c:pt idx="224">
                  <c:v>6.3079066975421242E-3</c:v>
                </c:pt>
                <c:pt idx="225">
                  <c:v>6.2515293693219589E-3</c:v>
                </c:pt>
                <c:pt idx="226">
                  <c:v>6.1954732794392304E-3</c:v>
                </c:pt>
                <c:pt idx="227">
                  <c:v>6.1397384278939413E-3</c:v>
                </c:pt>
                <c:pt idx="228">
                  <c:v>6.0843248146860872E-3</c:v>
                </c:pt>
                <c:pt idx="229">
                  <c:v>6.0292324398156689E-3</c:v>
                </c:pt>
                <c:pt idx="230">
                  <c:v>5.9744613032826892E-3</c:v>
                </c:pt>
                <c:pt idx="231">
                  <c:v>5.9200114050871463E-3</c:v>
                </c:pt>
                <c:pt idx="232">
                  <c:v>5.8658827452290367E-3</c:v>
                </c:pt>
                <c:pt idx="233">
                  <c:v>5.812075323708369E-3</c:v>
                </c:pt>
                <c:pt idx="234">
                  <c:v>5.7585891405251338E-3</c:v>
                </c:pt>
                <c:pt idx="235">
                  <c:v>5.7054241956793388E-3</c:v>
                </c:pt>
                <c:pt idx="236">
                  <c:v>5.6525804891709788E-3</c:v>
                </c:pt>
                <c:pt idx="237">
                  <c:v>5.6000580210000565E-3</c:v>
                </c:pt>
                <c:pt idx="238">
                  <c:v>5.5478567911665718E-3</c:v>
                </c:pt>
                <c:pt idx="239">
                  <c:v>5.4959767996705221E-3</c:v>
                </c:pt>
                <c:pt idx="240">
                  <c:v>5.4444180465119101E-3</c:v>
                </c:pt>
                <c:pt idx="241">
                  <c:v>5.393180531690734E-3</c:v>
                </c:pt>
                <c:pt idx="242">
                  <c:v>5.3422642552069955E-3</c:v>
                </c:pt>
                <c:pt idx="243">
                  <c:v>5.2916692170606947E-3</c:v>
                </c:pt>
                <c:pt idx="244">
                  <c:v>5.2413954172518297E-3</c:v>
                </c:pt>
                <c:pt idx="245">
                  <c:v>5.1914428557804024E-3</c:v>
                </c:pt>
                <c:pt idx="246">
                  <c:v>5.1418115326464101E-3</c:v>
                </c:pt>
                <c:pt idx="247">
                  <c:v>5.0925014478498554E-3</c:v>
                </c:pt>
                <c:pt idx="248">
                  <c:v>5.0435126013907384E-3</c:v>
                </c:pt>
                <c:pt idx="249">
                  <c:v>4.9948449932690573E-3</c:v>
                </c:pt>
                <c:pt idx="250">
                  <c:v>4.9464986234848138E-3</c:v>
                </c:pt>
                <c:pt idx="251">
                  <c:v>4.8984734920380071E-3</c:v>
                </c:pt>
                <c:pt idx="252">
                  <c:v>4.8507695989286363E-3</c:v>
                </c:pt>
                <c:pt idx="253">
                  <c:v>4.8033869441567048E-3</c:v>
                </c:pt>
                <c:pt idx="254">
                  <c:v>4.7563255277222076E-3</c:v>
                </c:pt>
                <c:pt idx="255">
                  <c:v>4.709585349625147E-3</c:v>
                </c:pt>
                <c:pt idx="256">
                  <c:v>4.663166409865525E-3</c:v>
                </c:pt>
                <c:pt idx="257">
                  <c:v>4.6170687084433389E-3</c:v>
                </c:pt>
                <c:pt idx="258">
                  <c:v>4.5712922453585887E-3</c:v>
                </c:pt>
                <c:pt idx="259">
                  <c:v>4.5258370206112761E-3</c:v>
                </c:pt>
                <c:pt idx="260">
                  <c:v>4.4807030342014012E-3</c:v>
                </c:pt>
                <c:pt idx="261">
                  <c:v>4.4358902861289622E-3</c:v>
                </c:pt>
                <c:pt idx="262">
                  <c:v>4.3913987763939616E-3</c:v>
                </c:pt>
                <c:pt idx="263">
                  <c:v>4.3472285049963961E-3</c:v>
                </c:pt>
                <c:pt idx="264">
                  <c:v>4.3033794719362682E-3</c:v>
                </c:pt>
                <c:pt idx="265">
                  <c:v>4.2598516772135763E-3</c:v>
                </c:pt>
                <c:pt idx="266">
                  <c:v>4.2166451208283219E-3</c:v>
                </c:pt>
                <c:pt idx="267">
                  <c:v>4.1737598027805044E-3</c:v>
                </c:pt>
                <c:pt idx="268">
                  <c:v>4.1311957230701236E-3</c:v>
                </c:pt>
                <c:pt idx="269">
                  <c:v>4.0889528816971804E-3</c:v>
                </c:pt>
                <c:pt idx="270">
                  <c:v>4.0470312786616714E-3</c:v>
                </c:pt>
                <c:pt idx="271">
                  <c:v>4.0054309139636018E-3</c:v>
                </c:pt>
                <c:pt idx="272">
                  <c:v>3.964151787602968E-3</c:v>
                </c:pt>
                <c:pt idx="273">
                  <c:v>3.923193899579772E-3</c:v>
                </c:pt>
                <c:pt idx="274">
                  <c:v>3.8825572498940113E-3</c:v>
                </c:pt>
                <c:pt idx="275">
                  <c:v>3.8422418385456892E-3</c:v>
                </c:pt>
                <c:pt idx="276">
                  <c:v>3.8022476655348025E-3</c:v>
                </c:pt>
                <c:pt idx="277">
                  <c:v>3.7625747308613531E-3</c:v>
                </c:pt>
                <c:pt idx="278">
                  <c:v>3.7232230345253413E-3</c:v>
                </c:pt>
                <c:pt idx="279">
                  <c:v>3.6841925765267649E-3</c:v>
                </c:pt>
                <c:pt idx="280">
                  <c:v>3.6454833568656257E-3</c:v>
                </c:pt>
                <c:pt idx="281">
                  <c:v>3.6070953755419242E-3</c:v>
                </c:pt>
                <c:pt idx="282">
                  <c:v>3.5690286325556586E-3</c:v>
                </c:pt>
                <c:pt idx="283">
                  <c:v>3.5312831279068306E-3</c:v>
                </c:pt>
                <c:pt idx="284">
                  <c:v>3.4938588615954385E-3</c:v>
                </c:pt>
                <c:pt idx="285">
                  <c:v>3.4567558336214845E-3</c:v>
                </c:pt>
                <c:pt idx="286">
                  <c:v>3.4199740439849664E-3</c:v>
                </c:pt>
                <c:pt idx="287">
                  <c:v>3.383513492685885E-3</c:v>
                </c:pt>
                <c:pt idx="288">
                  <c:v>3.3473741797242409E-3</c:v>
                </c:pt>
                <c:pt idx="289">
                  <c:v>3.3115561051000335E-3</c:v>
                </c:pt>
                <c:pt idx="290">
                  <c:v>3.2760592688132633E-3</c:v>
                </c:pt>
                <c:pt idx="291">
                  <c:v>3.2408836708639295E-3</c:v>
                </c:pt>
                <c:pt idx="292">
                  <c:v>3.2060293112520324E-3</c:v>
                </c:pt>
                <c:pt idx="293">
                  <c:v>3.1714961899775725E-3</c:v>
                </c:pt>
                <c:pt idx="294">
                  <c:v>3.137284307040549E-3</c:v>
                </c:pt>
                <c:pt idx="295">
                  <c:v>3.1033936624409626E-3</c:v>
                </c:pt>
                <c:pt idx="296">
                  <c:v>3.069824256178813E-3</c:v>
                </c:pt>
                <c:pt idx="297">
                  <c:v>3.036576088254102E-3</c:v>
                </c:pt>
                <c:pt idx="298">
                  <c:v>3.0036491586668259E-3</c:v>
                </c:pt>
                <c:pt idx="299">
                  <c:v>2.9710434674169867E-3</c:v>
                </c:pt>
                <c:pt idx="300">
                  <c:v>2.9387590145045846E-3</c:v>
                </c:pt>
                <c:pt idx="301">
                  <c:v>2.9067957999296189E-3</c:v>
                </c:pt>
                <c:pt idx="302">
                  <c:v>2.8751538236920899E-3</c:v>
                </c:pt>
                <c:pt idx="303">
                  <c:v>2.8438330857919981E-3</c:v>
                </c:pt>
                <c:pt idx="304">
                  <c:v>2.8128335862293435E-3</c:v>
                </c:pt>
                <c:pt idx="305">
                  <c:v>2.7821553250041262E-3</c:v>
                </c:pt>
                <c:pt idx="306">
                  <c:v>2.7517983021163443E-3</c:v>
                </c:pt>
                <c:pt idx="307">
                  <c:v>2.721762517566E-3</c:v>
                </c:pt>
                <c:pt idx="308">
                  <c:v>2.6920479713530925E-3</c:v>
                </c:pt>
                <c:pt idx="309">
                  <c:v>2.6626546634776218E-3</c:v>
                </c:pt>
                <c:pt idx="310">
                  <c:v>2.6335825939395878E-3</c:v>
                </c:pt>
                <c:pt idx="311">
                  <c:v>2.6048317627389902E-3</c:v>
                </c:pt>
                <c:pt idx="312">
                  <c:v>2.5764021698758302E-3</c:v>
                </c:pt>
                <c:pt idx="313">
                  <c:v>2.5482938153501065E-3</c:v>
                </c:pt>
                <c:pt idx="314">
                  <c:v>2.5205066991618201E-3</c:v>
                </c:pt>
                <c:pt idx="315">
                  <c:v>2.4930408213109704E-3</c:v>
                </c:pt>
                <c:pt idx="316">
                  <c:v>2.4658961817975583E-3</c:v>
                </c:pt>
                <c:pt idx="317">
                  <c:v>2.4390727806215813E-3</c:v>
                </c:pt>
                <c:pt idx="318">
                  <c:v>2.4125706177830423E-3</c:v>
                </c:pt>
                <c:pt idx="319">
                  <c:v>2.3863896932819397E-3</c:v>
                </c:pt>
                <c:pt idx="320">
                  <c:v>2.3605300071182743E-3</c:v>
                </c:pt>
                <c:pt idx="321">
                  <c:v>2.3349915592920456E-3</c:v>
                </c:pt>
                <c:pt idx="322">
                  <c:v>2.3097743498032538E-3</c:v>
                </c:pt>
                <c:pt idx="323">
                  <c:v>2.2848783786518986E-3</c:v>
                </c:pt>
                <c:pt idx="324">
                  <c:v>2.2603036458379803E-3</c:v>
                </c:pt>
                <c:pt idx="325">
                  <c:v>2.2360501513614987E-3</c:v>
                </c:pt>
                <c:pt idx="326">
                  <c:v>2.2121178952224543E-3</c:v>
                </c:pt>
                <c:pt idx="327">
                  <c:v>2.1885068774208463E-3</c:v>
                </c:pt>
                <c:pt idx="328">
                  <c:v>2.1652170979566754E-3</c:v>
                </c:pt>
                <c:pt idx="329">
                  <c:v>2.1422485568299418E-3</c:v>
                </c:pt>
                <c:pt idx="330">
                  <c:v>2.1196012540406445E-3</c:v>
                </c:pt>
                <c:pt idx="331">
                  <c:v>2.0972751895887839E-3</c:v>
                </c:pt>
                <c:pt idx="332">
                  <c:v>2.0752703634743601E-3</c:v>
                </c:pt>
                <c:pt idx="333">
                  <c:v>2.0535867756973736E-3</c:v>
                </c:pt>
                <c:pt idx="334">
                  <c:v>2.0322244262578233E-3</c:v>
                </c:pt>
                <c:pt idx="335">
                  <c:v>2.0111833151557103E-3</c:v>
                </c:pt>
                <c:pt idx="336">
                  <c:v>1.990463442391034E-3</c:v>
                </c:pt>
                <c:pt idx="337">
                  <c:v>1.9700648079637949E-3</c:v>
                </c:pt>
                <c:pt idx="338">
                  <c:v>1.9499874118739922E-3</c:v>
                </c:pt>
                <c:pt idx="339">
                  <c:v>1.9302312541216262E-3</c:v>
                </c:pt>
                <c:pt idx="340">
                  <c:v>1.9107963347066974E-3</c:v>
                </c:pt>
                <c:pt idx="341">
                  <c:v>1.8916826536292052E-3</c:v>
                </c:pt>
                <c:pt idx="342">
                  <c:v>1.8728902108891498E-3</c:v>
                </c:pt>
                <c:pt idx="343">
                  <c:v>1.8544190064865315E-3</c:v>
                </c:pt>
                <c:pt idx="344">
                  <c:v>1.8362690404213496E-3</c:v>
                </c:pt>
                <c:pt idx="345">
                  <c:v>1.8184403126936051E-3</c:v>
                </c:pt>
                <c:pt idx="346">
                  <c:v>1.8009328233032972E-3</c:v>
                </c:pt>
                <c:pt idx="347">
                  <c:v>1.783746572250426E-3</c:v>
                </c:pt>
                <c:pt idx="348">
                  <c:v>1.7668815595349918E-3</c:v>
                </c:pt>
                <c:pt idx="349">
                  <c:v>1.7503377851569944E-3</c:v>
                </c:pt>
                <c:pt idx="350">
                  <c:v>1.7341152491164337E-3</c:v>
                </c:pt>
                <c:pt idx="351">
                  <c:v>1.7182139514133102E-3</c:v>
                </c:pt>
                <c:pt idx="352">
                  <c:v>1.7026338920476231E-3</c:v>
                </c:pt>
                <c:pt idx="353">
                  <c:v>1.6873750710193732E-3</c:v>
                </c:pt>
                <c:pt idx="354">
                  <c:v>1.6724374883285596E-3</c:v>
                </c:pt>
                <c:pt idx="355">
                  <c:v>1.6578211439751832E-3</c:v>
                </c:pt>
                <c:pt idx="356">
                  <c:v>1.6435260379592436E-3</c:v>
                </c:pt>
                <c:pt idx="357">
                  <c:v>1.6295521702807409E-3</c:v>
                </c:pt>
                <c:pt idx="358">
                  <c:v>1.6158995409396748E-3</c:v>
                </c:pt>
                <c:pt idx="359">
                  <c:v>1.6025681499360457E-3</c:v>
                </c:pt>
                <c:pt idx="360">
                  <c:v>1.5895579972698534E-3</c:v>
                </c:pt>
                <c:pt idx="361">
                  <c:v>1.5768690829410978E-3</c:v>
                </c:pt>
                <c:pt idx="362">
                  <c:v>1.5645014069497793E-3</c:v>
                </c:pt>
                <c:pt idx="363">
                  <c:v>1.5524549692958974E-3</c:v>
                </c:pt>
                <c:pt idx="364">
                  <c:v>1.5407297699794524E-3</c:v>
                </c:pt>
                <c:pt idx="365">
                  <c:v>1.5293258090004443E-3</c:v>
                </c:pt>
                <c:pt idx="366">
                  <c:v>1.518243086358873E-3</c:v>
                </c:pt>
                <c:pt idx="367">
                  <c:v>1.5074816020547387E-3</c:v>
                </c:pt>
                <c:pt idx="368">
                  <c:v>1.4970413560880407E-3</c:v>
                </c:pt>
                <c:pt idx="369">
                  <c:v>1.48692234845878E-3</c:v>
                </c:pt>
                <c:pt idx="370">
                  <c:v>1.4771245791669564E-3</c:v>
                </c:pt>
                <c:pt idx="371">
                  <c:v>1.4676480482125691E-3</c:v>
                </c:pt>
                <c:pt idx="372">
                  <c:v>1.4584927555956187E-3</c:v>
                </c:pt>
                <c:pt idx="373">
                  <c:v>1.4496587013161052E-3</c:v>
                </c:pt>
                <c:pt idx="374">
                  <c:v>1.4411458853740284E-3</c:v>
                </c:pt>
                <c:pt idx="375">
                  <c:v>1.4329543077693887E-3</c:v>
                </c:pt>
                <c:pt idx="376">
                  <c:v>1.4250839685021857E-3</c:v>
                </c:pt>
                <c:pt idx="377">
                  <c:v>1.4175348675724195E-3</c:v>
                </c:pt>
                <c:pt idx="378">
                  <c:v>1.4103070049800903E-3</c:v>
                </c:pt>
                <c:pt idx="379">
                  <c:v>1.4034003807251976E-3</c:v>
                </c:pt>
                <c:pt idx="380">
                  <c:v>1.3968149948077422E-3</c:v>
                </c:pt>
                <c:pt idx="381">
                  <c:v>1.3905508472277233E-3</c:v>
                </c:pt>
                <c:pt idx="382">
                  <c:v>1.3846079379851411E-3</c:v>
                </c:pt>
                <c:pt idx="383">
                  <c:v>1.3789862670799962E-3</c:v>
                </c:pt>
                <c:pt idx="384">
                  <c:v>1.3736858345122878E-3</c:v>
                </c:pt>
                <c:pt idx="385">
                  <c:v>1.3687066402820163E-3</c:v>
                </c:pt>
                <c:pt idx="386">
                  <c:v>1.3640486843891817E-3</c:v>
                </c:pt>
                <c:pt idx="387">
                  <c:v>1.3597119668337838E-3</c:v>
                </c:pt>
                <c:pt idx="388">
                  <c:v>1.3556964876158229E-3</c:v>
                </c:pt>
                <c:pt idx="389">
                  <c:v>1.3520022467352986E-3</c:v>
                </c:pt>
                <c:pt idx="390">
                  <c:v>1.3486292441922112E-3</c:v>
                </c:pt>
                <c:pt idx="391">
                  <c:v>1.3455774799865606E-3</c:v>
                </c:pt>
                <c:pt idx="392">
                  <c:v>1.3428469541183468E-3</c:v>
                </c:pt>
                <c:pt idx="393">
                  <c:v>1.3404376665875702E-3</c:v>
                </c:pt>
                <c:pt idx="394">
                  <c:v>1.3383496173942301E-3</c:v>
                </c:pt>
                <c:pt idx="395">
                  <c:v>1.336582806538327E-3</c:v>
                </c:pt>
                <c:pt idx="396">
                  <c:v>1.3351372340198605E-3</c:v>
                </c:pt>
                <c:pt idx="397">
                  <c:v>1.3340128998388311E-3</c:v>
                </c:pt>
                <c:pt idx="398">
                  <c:v>1.3332098039952384E-3</c:v>
                </c:pt>
                <c:pt idx="399">
                  <c:v>1.3327279464890826E-3</c:v>
                </c:pt>
                <c:pt idx="400">
                  <c:v>1.3325673273203635E-3</c:v>
                </c:pt>
                <c:pt idx="401">
                  <c:v>1.3327279464890815E-3</c:v>
                </c:pt>
                <c:pt idx="402">
                  <c:v>1.3332098039952362E-3</c:v>
                </c:pt>
                <c:pt idx="403">
                  <c:v>1.3340128998388272E-3</c:v>
                </c:pt>
                <c:pt idx="404">
                  <c:v>1.3351372340198557E-3</c:v>
                </c:pt>
                <c:pt idx="405">
                  <c:v>1.3365828065383209E-3</c:v>
                </c:pt>
                <c:pt idx="406">
                  <c:v>1.3383496173942227E-3</c:v>
                </c:pt>
                <c:pt idx="407">
                  <c:v>1.3404376665875615E-3</c:v>
                </c:pt>
                <c:pt idx="408">
                  <c:v>1.3428469541183373E-3</c:v>
                </c:pt>
                <c:pt idx="409">
                  <c:v>1.3455774799865498E-3</c:v>
                </c:pt>
                <c:pt idx="410">
                  <c:v>1.3486292441921991E-3</c:v>
                </c:pt>
                <c:pt idx="411">
                  <c:v>1.3520022467352851E-3</c:v>
                </c:pt>
                <c:pt idx="412">
                  <c:v>1.3556964876158084E-3</c:v>
                </c:pt>
                <c:pt idx="413">
                  <c:v>1.359711966833768E-3</c:v>
                </c:pt>
                <c:pt idx="414">
                  <c:v>1.3640486843891648E-3</c:v>
                </c:pt>
                <c:pt idx="415">
                  <c:v>1.3687066402819981E-3</c:v>
                </c:pt>
                <c:pt idx="416">
                  <c:v>1.373685834512268E-3</c:v>
                </c:pt>
                <c:pt idx="417">
                  <c:v>1.3789862670799753E-3</c:v>
                </c:pt>
                <c:pt idx="418">
                  <c:v>1.3846079379851192E-3</c:v>
                </c:pt>
                <c:pt idx="419">
                  <c:v>1.3905508472277003E-3</c:v>
                </c:pt>
                <c:pt idx="420">
                  <c:v>1.3968149948077179E-3</c:v>
                </c:pt>
                <c:pt idx="421">
                  <c:v>1.4034003807251721E-3</c:v>
                </c:pt>
                <c:pt idx="422">
                  <c:v>1.4103070049800636E-3</c:v>
                </c:pt>
                <c:pt idx="423">
                  <c:v>1.4175348675723918E-3</c:v>
                </c:pt>
                <c:pt idx="424">
                  <c:v>1.4250839685021567E-3</c:v>
                </c:pt>
                <c:pt idx="425">
                  <c:v>1.4329543077693586E-3</c:v>
                </c:pt>
                <c:pt idx="426">
                  <c:v>1.4411458853739968E-3</c:v>
                </c:pt>
                <c:pt idx="427">
                  <c:v>1.449658701316072E-3</c:v>
                </c:pt>
                <c:pt idx="428">
                  <c:v>1.4584927555955844E-3</c:v>
                </c:pt>
                <c:pt idx="429">
                  <c:v>1.4676480482125338E-3</c:v>
                </c:pt>
                <c:pt idx="430">
                  <c:v>1.4771245791669195E-3</c:v>
                </c:pt>
                <c:pt idx="431">
                  <c:v>1.4869223484587422E-3</c:v>
                </c:pt>
                <c:pt idx="432">
                  <c:v>1.4970413560880021E-3</c:v>
                </c:pt>
                <c:pt idx="433">
                  <c:v>1.5074816020546984E-3</c:v>
                </c:pt>
                <c:pt idx="434">
                  <c:v>1.518243086358832E-3</c:v>
                </c:pt>
                <c:pt idx="435">
                  <c:v>1.5293258090004018E-3</c:v>
                </c:pt>
                <c:pt idx="436">
                  <c:v>1.5407297699794084E-3</c:v>
                </c:pt>
                <c:pt idx="437">
                  <c:v>1.5524549692958523E-3</c:v>
                </c:pt>
                <c:pt idx="438">
                  <c:v>1.5645014069497329E-3</c:v>
                </c:pt>
                <c:pt idx="439">
                  <c:v>1.5768690829410508E-3</c:v>
                </c:pt>
                <c:pt idx="440">
                  <c:v>1.5895579972698046E-3</c:v>
                </c:pt>
                <c:pt idx="441">
                  <c:v>1.6025681499359961E-3</c:v>
                </c:pt>
                <c:pt idx="442">
                  <c:v>1.6158995409396235E-3</c:v>
                </c:pt>
                <c:pt idx="443">
                  <c:v>1.6295521702806885E-3</c:v>
                </c:pt>
                <c:pt idx="444">
                  <c:v>1.6435260379591904E-3</c:v>
                </c:pt>
                <c:pt idx="445">
                  <c:v>1.6578211439751288E-3</c:v>
                </c:pt>
                <c:pt idx="446">
                  <c:v>1.6724374883285041E-3</c:v>
                </c:pt>
                <c:pt idx="447">
                  <c:v>1.6873750710193159E-3</c:v>
                </c:pt>
                <c:pt idx="448">
                  <c:v>1.702633892047565E-3</c:v>
                </c:pt>
                <c:pt idx="449">
                  <c:v>1.7182139514132508E-3</c:v>
                </c:pt>
                <c:pt idx="450">
                  <c:v>1.734115249116373E-3</c:v>
                </c:pt>
                <c:pt idx="451">
                  <c:v>1.7503377851569323E-3</c:v>
                </c:pt>
                <c:pt idx="452">
                  <c:v>1.7668815595349285E-3</c:v>
                </c:pt>
                <c:pt idx="453">
                  <c:v>1.7837465722503622E-3</c:v>
                </c:pt>
                <c:pt idx="454">
                  <c:v>1.8009328233032319E-3</c:v>
                </c:pt>
                <c:pt idx="455">
                  <c:v>1.8184403126935379E-3</c:v>
                </c:pt>
                <c:pt idx="456">
                  <c:v>1.8362690404212828E-3</c:v>
                </c:pt>
                <c:pt idx="457">
                  <c:v>1.8544190064864619E-3</c:v>
                </c:pt>
                <c:pt idx="458">
                  <c:v>1.8728902108890795E-3</c:v>
                </c:pt>
                <c:pt idx="459">
                  <c:v>1.8916826536291339E-3</c:v>
                </c:pt>
                <c:pt idx="460">
                  <c:v>1.9107963347066246E-3</c:v>
                </c:pt>
                <c:pt idx="461">
                  <c:v>1.9302312541215529E-3</c:v>
                </c:pt>
                <c:pt idx="462">
                  <c:v>1.9499874118739176E-3</c:v>
                </c:pt>
                <c:pt idx="463">
                  <c:v>1.9700648079637182E-3</c:v>
                </c:pt>
                <c:pt idx="464">
                  <c:v>1.9904634423909564E-3</c:v>
                </c:pt>
                <c:pt idx="465">
                  <c:v>2.0111833151556322E-3</c:v>
                </c:pt>
                <c:pt idx="466">
                  <c:v>2.032224426257744E-3</c:v>
                </c:pt>
                <c:pt idx="467">
                  <c:v>2.0535867756972925E-3</c:v>
                </c:pt>
                <c:pt idx="468">
                  <c:v>2.0752703634742786E-3</c:v>
                </c:pt>
                <c:pt idx="469">
                  <c:v>2.0972751895887002E-3</c:v>
                </c:pt>
                <c:pt idx="470">
                  <c:v>2.119601254040559E-3</c:v>
                </c:pt>
                <c:pt idx="471">
                  <c:v>2.1422485568298559E-3</c:v>
                </c:pt>
                <c:pt idx="472">
                  <c:v>2.1652170979565887E-3</c:v>
                </c:pt>
                <c:pt idx="473">
                  <c:v>2.1885068774207574E-3</c:v>
                </c:pt>
                <c:pt idx="474">
                  <c:v>2.2121178952223641E-3</c:v>
                </c:pt>
                <c:pt idx="475">
                  <c:v>2.2360501513614081E-3</c:v>
                </c:pt>
                <c:pt idx="476">
                  <c:v>2.2603036458378888E-3</c:v>
                </c:pt>
                <c:pt idx="477">
                  <c:v>2.2848783786518058E-3</c:v>
                </c:pt>
                <c:pt idx="478">
                  <c:v>2.3097743498031592E-3</c:v>
                </c:pt>
                <c:pt idx="479">
                  <c:v>2.3349915592919494E-3</c:v>
                </c:pt>
                <c:pt idx="480">
                  <c:v>2.3605300071181771E-3</c:v>
                </c:pt>
                <c:pt idx="481">
                  <c:v>2.3863896932818417E-3</c:v>
                </c:pt>
                <c:pt idx="482">
                  <c:v>2.412570617782943E-3</c:v>
                </c:pt>
                <c:pt idx="483">
                  <c:v>2.439072780621482E-3</c:v>
                </c:pt>
                <c:pt idx="484">
                  <c:v>2.465896181797456E-3</c:v>
                </c:pt>
                <c:pt idx="485">
                  <c:v>2.4930408213108676E-3</c:v>
                </c:pt>
                <c:pt idx="486">
                  <c:v>2.520506699161716E-3</c:v>
                </c:pt>
                <c:pt idx="487">
                  <c:v>2.548293815350002E-3</c:v>
                </c:pt>
                <c:pt idx="488">
                  <c:v>2.5764021698757231E-3</c:v>
                </c:pt>
                <c:pt idx="489">
                  <c:v>2.6048317627388835E-3</c:v>
                </c:pt>
                <c:pt idx="490">
                  <c:v>2.633582593939479E-3</c:v>
                </c:pt>
                <c:pt idx="491">
                  <c:v>2.6626546634775121E-3</c:v>
                </c:pt>
                <c:pt idx="492">
                  <c:v>2.6920479713529819E-3</c:v>
                </c:pt>
                <c:pt idx="493">
                  <c:v>2.7217625175658868E-3</c:v>
                </c:pt>
                <c:pt idx="494">
                  <c:v>2.7517983021162311E-3</c:v>
                </c:pt>
                <c:pt idx="495">
                  <c:v>2.7821553250040112E-3</c:v>
                </c:pt>
                <c:pt idx="496">
                  <c:v>2.8128335862292282E-3</c:v>
                </c:pt>
                <c:pt idx="497">
                  <c:v>2.8438330857918819E-3</c:v>
                </c:pt>
                <c:pt idx="498">
                  <c:v>2.8751538236919715E-3</c:v>
                </c:pt>
                <c:pt idx="499">
                  <c:v>2.9067957999294987E-3</c:v>
                </c:pt>
                <c:pt idx="500">
                  <c:v>2.9387590145044627E-3</c:v>
                </c:pt>
              </c:numCache>
            </c:numRef>
          </c:xVal>
          <c:yVal>
            <c:numRef>
              <c:f>Industries_!$R$56:$R$556</c:f>
              <c:numCache>
                <c:formatCode>General</c:formatCode>
                <c:ptCount val="501"/>
                <c:pt idx="0">
                  <c:v>4.3220305549320673E-2</c:v>
                </c:pt>
                <c:pt idx="1">
                  <c:v>4.3142038278695144E-2</c:v>
                </c:pt>
                <c:pt idx="2">
                  <c:v>4.3063771008069615E-2</c:v>
                </c:pt>
                <c:pt idx="3">
                  <c:v>4.2985503737444086E-2</c:v>
                </c:pt>
                <c:pt idx="4">
                  <c:v>4.2907236466818557E-2</c:v>
                </c:pt>
                <c:pt idx="5">
                  <c:v>4.2828969196193022E-2</c:v>
                </c:pt>
                <c:pt idx="6">
                  <c:v>4.2750701925567493E-2</c:v>
                </c:pt>
                <c:pt idx="7">
                  <c:v>4.2672434654941978E-2</c:v>
                </c:pt>
                <c:pt idx="8">
                  <c:v>4.2594167384316449E-2</c:v>
                </c:pt>
                <c:pt idx="9">
                  <c:v>4.251590011369092E-2</c:v>
                </c:pt>
                <c:pt idx="10">
                  <c:v>4.2437632843065391E-2</c:v>
                </c:pt>
                <c:pt idx="11">
                  <c:v>4.2359365572439862E-2</c:v>
                </c:pt>
                <c:pt idx="12">
                  <c:v>4.2281098301814334E-2</c:v>
                </c:pt>
                <c:pt idx="13">
                  <c:v>4.2202831031188805E-2</c:v>
                </c:pt>
                <c:pt idx="14">
                  <c:v>4.2124563760563276E-2</c:v>
                </c:pt>
                <c:pt idx="15">
                  <c:v>4.204629648993774E-2</c:v>
                </c:pt>
                <c:pt idx="16">
                  <c:v>4.1968029219312211E-2</c:v>
                </c:pt>
                <c:pt idx="17">
                  <c:v>4.1889761948686682E-2</c:v>
                </c:pt>
                <c:pt idx="18">
                  <c:v>4.1811494678061153E-2</c:v>
                </c:pt>
                <c:pt idx="19">
                  <c:v>4.1733227407435625E-2</c:v>
                </c:pt>
                <c:pt idx="20">
                  <c:v>4.1654960136810096E-2</c:v>
                </c:pt>
                <c:pt idx="21">
                  <c:v>4.1576692866184581E-2</c:v>
                </c:pt>
                <c:pt idx="22">
                  <c:v>4.1498425595559052E-2</c:v>
                </c:pt>
                <c:pt idx="23">
                  <c:v>4.1420158324933523E-2</c:v>
                </c:pt>
                <c:pt idx="24">
                  <c:v>4.1341891054307987E-2</c:v>
                </c:pt>
                <c:pt idx="25">
                  <c:v>4.1263623783682458E-2</c:v>
                </c:pt>
                <c:pt idx="26">
                  <c:v>4.118535651305693E-2</c:v>
                </c:pt>
                <c:pt idx="27">
                  <c:v>4.1107089242431401E-2</c:v>
                </c:pt>
                <c:pt idx="28">
                  <c:v>4.1028821971805872E-2</c:v>
                </c:pt>
                <c:pt idx="29">
                  <c:v>4.0950554701180343E-2</c:v>
                </c:pt>
                <c:pt idx="30">
                  <c:v>4.0872287430554814E-2</c:v>
                </c:pt>
                <c:pt idx="31">
                  <c:v>4.0794020159929285E-2</c:v>
                </c:pt>
                <c:pt idx="32">
                  <c:v>4.0715752889303757E-2</c:v>
                </c:pt>
                <c:pt idx="33">
                  <c:v>4.0637485618678228E-2</c:v>
                </c:pt>
                <c:pt idx="34">
                  <c:v>4.0559218348052692E-2</c:v>
                </c:pt>
                <c:pt idx="35">
                  <c:v>4.0480951077427177E-2</c:v>
                </c:pt>
                <c:pt idx="36">
                  <c:v>4.0402683806801648E-2</c:v>
                </c:pt>
                <c:pt idx="37">
                  <c:v>4.0324416536176119E-2</c:v>
                </c:pt>
                <c:pt idx="38">
                  <c:v>4.024614926555059E-2</c:v>
                </c:pt>
                <c:pt idx="39">
                  <c:v>4.0167881994925062E-2</c:v>
                </c:pt>
                <c:pt idx="40">
                  <c:v>4.0089614724299533E-2</c:v>
                </c:pt>
                <c:pt idx="41">
                  <c:v>4.0011347453674004E-2</c:v>
                </c:pt>
                <c:pt idx="42">
                  <c:v>3.9933080183048475E-2</c:v>
                </c:pt>
                <c:pt idx="43">
                  <c:v>3.9854812912422946E-2</c:v>
                </c:pt>
                <c:pt idx="44">
                  <c:v>3.9776545641797417E-2</c:v>
                </c:pt>
                <c:pt idx="45">
                  <c:v>3.9698278371171881E-2</c:v>
                </c:pt>
                <c:pt idx="46">
                  <c:v>3.9620011100546353E-2</c:v>
                </c:pt>
                <c:pt idx="47">
                  <c:v>3.9541743829920824E-2</c:v>
                </c:pt>
                <c:pt idx="48">
                  <c:v>3.9463476559295309E-2</c:v>
                </c:pt>
                <c:pt idx="49">
                  <c:v>3.938520928866978E-2</c:v>
                </c:pt>
                <c:pt idx="50">
                  <c:v>3.9306942018044244E-2</c:v>
                </c:pt>
                <c:pt idx="51">
                  <c:v>3.9228674747418715E-2</c:v>
                </c:pt>
                <c:pt idx="52">
                  <c:v>3.9150407476793186E-2</c:v>
                </c:pt>
                <c:pt idx="53">
                  <c:v>3.9072140206167658E-2</c:v>
                </c:pt>
                <c:pt idx="54">
                  <c:v>3.8993872935542129E-2</c:v>
                </c:pt>
                <c:pt idx="55">
                  <c:v>3.89156056649166E-2</c:v>
                </c:pt>
                <c:pt idx="56">
                  <c:v>3.8837338394291071E-2</c:v>
                </c:pt>
                <c:pt idx="57">
                  <c:v>3.8759071123665542E-2</c:v>
                </c:pt>
                <c:pt idx="58">
                  <c:v>3.8680803853040013E-2</c:v>
                </c:pt>
                <c:pt idx="59">
                  <c:v>3.8602536582414484E-2</c:v>
                </c:pt>
                <c:pt idx="60">
                  <c:v>3.8524269311788956E-2</c:v>
                </c:pt>
                <c:pt idx="61">
                  <c:v>3.8446002041163427E-2</c:v>
                </c:pt>
                <c:pt idx="62">
                  <c:v>3.8367734770537912E-2</c:v>
                </c:pt>
                <c:pt idx="63">
                  <c:v>3.8289467499912383E-2</c:v>
                </c:pt>
                <c:pt idx="64">
                  <c:v>3.8211200229286847E-2</c:v>
                </c:pt>
                <c:pt idx="65">
                  <c:v>3.8132932958661318E-2</c:v>
                </c:pt>
                <c:pt idx="66">
                  <c:v>3.8054665688035789E-2</c:v>
                </c:pt>
                <c:pt idx="67">
                  <c:v>3.7976398417410261E-2</c:v>
                </c:pt>
                <c:pt idx="68">
                  <c:v>3.7898131146784732E-2</c:v>
                </c:pt>
                <c:pt idx="69">
                  <c:v>3.7819863876159196E-2</c:v>
                </c:pt>
                <c:pt idx="70">
                  <c:v>3.7741596605533667E-2</c:v>
                </c:pt>
                <c:pt idx="71">
                  <c:v>3.7663329334908138E-2</c:v>
                </c:pt>
                <c:pt idx="72">
                  <c:v>3.7585062064282609E-2</c:v>
                </c:pt>
                <c:pt idx="73">
                  <c:v>3.7506794793657081E-2</c:v>
                </c:pt>
                <c:pt idx="74">
                  <c:v>3.7428527523031552E-2</c:v>
                </c:pt>
                <c:pt idx="75">
                  <c:v>3.7350260252406023E-2</c:v>
                </c:pt>
                <c:pt idx="76">
                  <c:v>3.7271992981780508E-2</c:v>
                </c:pt>
                <c:pt idx="77">
                  <c:v>3.7193725711154979E-2</c:v>
                </c:pt>
                <c:pt idx="78">
                  <c:v>3.711545844052945E-2</c:v>
                </c:pt>
                <c:pt idx="79">
                  <c:v>3.7037191169903921E-2</c:v>
                </c:pt>
                <c:pt idx="80">
                  <c:v>3.6958923899278392E-2</c:v>
                </c:pt>
                <c:pt idx="81">
                  <c:v>3.6880656628652864E-2</c:v>
                </c:pt>
                <c:pt idx="82">
                  <c:v>3.6802389358027335E-2</c:v>
                </c:pt>
                <c:pt idx="83">
                  <c:v>3.6724122087401799E-2</c:v>
                </c:pt>
                <c:pt idx="84">
                  <c:v>3.664585481677627E-2</c:v>
                </c:pt>
                <c:pt idx="85">
                  <c:v>3.6567587546150741E-2</c:v>
                </c:pt>
                <c:pt idx="86">
                  <c:v>3.6489320275525219E-2</c:v>
                </c:pt>
                <c:pt idx="87">
                  <c:v>3.6411053004899691E-2</c:v>
                </c:pt>
                <c:pt idx="88">
                  <c:v>3.6332785734274162E-2</c:v>
                </c:pt>
                <c:pt idx="89">
                  <c:v>3.6254518463648633E-2</c:v>
                </c:pt>
                <c:pt idx="90">
                  <c:v>3.6176251193023104E-2</c:v>
                </c:pt>
                <c:pt idx="91">
                  <c:v>3.6097983922397575E-2</c:v>
                </c:pt>
                <c:pt idx="92">
                  <c:v>3.6019716651772039E-2</c:v>
                </c:pt>
                <c:pt idx="93">
                  <c:v>3.5941449381146517E-2</c:v>
                </c:pt>
                <c:pt idx="94">
                  <c:v>3.5863182110520989E-2</c:v>
                </c:pt>
                <c:pt idx="95">
                  <c:v>3.578491483989546E-2</c:v>
                </c:pt>
                <c:pt idx="96">
                  <c:v>3.5706647569269931E-2</c:v>
                </c:pt>
                <c:pt idx="97">
                  <c:v>3.5628380298644402E-2</c:v>
                </c:pt>
                <c:pt idx="98">
                  <c:v>3.5550113028018873E-2</c:v>
                </c:pt>
                <c:pt idx="99">
                  <c:v>3.5471845757393344E-2</c:v>
                </c:pt>
                <c:pt idx="100">
                  <c:v>3.5393578486767815E-2</c:v>
                </c:pt>
                <c:pt idx="101">
                  <c:v>3.5315311216142287E-2</c:v>
                </c:pt>
                <c:pt idx="102">
                  <c:v>3.5237043945516758E-2</c:v>
                </c:pt>
                <c:pt idx="103">
                  <c:v>3.5158776674891222E-2</c:v>
                </c:pt>
                <c:pt idx="104">
                  <c:v>3.50805094042657E-2</c:v>
                </c:pt>
                <c:pt idx="105">
                  <c:v>3.5002242133640171E-2</c:v>
                </c:pt>
                <c:pt idx="106">
                  <c:v>3.4923974863014635E-2</c:v>
                </c:pt>
                <c:pt idx="107">
                  <c:v>3.48457075923891E-2</c:v>
                </c:pt>
                <c:pt idx="108">
                  <c:v>3.4767440321763571E-2</c:v>
                </c:pt>
                <c:pt idx="109">
                  <c:v>3.4689173051138049E-2</c:v>
                </c:pt>
                <c:pt idx="110">
                  <c:v>3.4610905780512513E-2</c:v>
                </c:pt>
                <c:pt idx="111">
                  <c:v>3.4532638509886984E-2</c:v>
                </c:pt>
                <c:pt idx="112">
                  <c:v>3.4454371239261455E-2</c:v>
                </c:pt>
                <c:pt idx="113">
                  <c:v>3.4376103968635927E-2</c:v>
                </c:pt>
                <c:pt idx="114">
                  <c:v>3.4297836698010398E-2</c:v>
                </c:pt>
                <c:pt idx="115">
                  <c:v>3.4219569427384855E-2</c:v>
                </c:pt>
                <c:pt idx="116">
                  <c:v>3.4141302156759333E-2</c:v>
                </c:pt>
                <c:pt idx="117">
                  <c:v>3.4063034886133804E-2</c:v>
                </c:pt>
                <c:pt idx="118">
                  <c:v>3.3984767615508268E-2</c:v>
                </c:pt>
                <c:pt idx="119">
                  <c:v>3.390650034488274E-2</c:v>
                </c:pt>
                <c:pt idx="120">
                  <c:v>3.3828233074257211E-2</c:v>
                </c:pt>
                <c:pt idx="121">
                  <c:v>3.3749965803631682E-2</c:v>
                </c:pt>
                <c:pt idx="122">
                  <c:v>3.3671698533006153E-2</c:v>
                </c:pt>
                <c:pt idx="123">
                  <c:v>3.359343126238061E-2</c:v>
                </c:pt>
                <c:pt idx="124">
                  <c:v>3.3515163991755088E-2</c:v>
                </c:pt>
                <c:pt idx="125">
                  <c:v>3.3436896721129566E-2</c:v>
                </c:pt>
                <c:pt idx="126">
                  <c:v>3.3358629450504024E-2</c:v>
                </c:pt>
                <c:pt idx="127">
                  <c:v>3.3280362179878495E-2</c:v>
                </c:pt>
                <c:pt idx="128">
                  <c:v>3.3202094909252966E-2</c:v>
                </c:pt>
                <c:pt idx="129">
                  <c:v>3.3123827638627437E-2</c:v>
                </c:pt>
                <c:pt idx="130">
                  <c:v>3.3045560368001908E-2</c:v>
                </c:pt>
                <c:pt idx="131">
                  <c:v>3.2967293097376373E-2</c:v>
                </c:pt>
                <c:pt idx="132">
                  <c:v>3.2889025826750844E-2</c:v>
                </c:pt>
                <c:pt idx="133">
                  <c:v>3.2810758556125322E-2</c:v>
                </c:pt>
                <c:pt idx="134">
                  <c:v>3.2732491285499786E-2</c:v>
                </c:pt>
                <c:pt idx="135">
                  <c:v>3.265422401487425E-2</c:v>
                </c:pt>
                <c:pt idx="136">
                  <c:v>3.2575956744248721E-2</c:v>
                </c:pt>
                <c:pt idx="137">
                  <c:v>3.2497689473623192E-2</c:v>
                </c:pt>
                <c:pt idx="138">
                  <c:v>3.2419422202997664E-2</c:v>
                </c:pt>
                <c:pt idx="139">
                  <c:v>3.2341154932372128E-2</c:v>
                </c:pt>
                <c:pt idx="140">
                  <c:v>3.2262887661746606E-2</c:v>
                </c:pt>
                <c:pt idx="141">
                  <c:v>3.2184620391121077E-2</c:v>
                </c:pt>
                <c:pt idx="142">
                  <c:v>3.2106353120495541E-2</c:v>
                </c:pt>
                <c:pt idx="143">
                  <c:v>3.2028085849870006E-2</c:v>
                </c:pt>
                <c:pt idx="144">
                  <c:v>3.1949818579244477E-2</c:v>
                </c:pt>
                <c:pt idx="145">
                  <c:v>3.1871551308618955E-2</c:v>
                </c:pt>
                <c:pt idx="146">
                  <c:v>3.1793284037993419E-2</c:v>
                </c:pt>
                <c:pt idx="147">
                  <c:v>3.171501676736789E-2</c:v>
                </c:pt>
                <c:pt idx="148">
                  <c:v>3.1636749496742361E-2</c:v>
                </c:pt>
                <c:pt idx="149">
                  <c:v>3.1558482226116832E-2</c:v>
                </c:pt>
                <c:pt idx="150">
                  <c:v>3.1480214955491297E-2</c:v>
                </c:pt>
                <c:pt idx="151">
                  <c:v>3.1401947684865761E-2</c:v>
                </c:pt>
                <c:pt idx="152">
                  <c:v>3.1323680414240232E-2</c:v>
                </c:pt>
                <c:pt idx="153">
                  <c:v>3.1245413143614717E-2</c:v>
                </c:pt>
                <c:pt idx="154">
                  <c:v>3.1167145872989178E-2</c:v>
                </c:pt>
                <c:pt idx="155">
                  <c:v>3.1088878602363642E-2</c:v>
                </c:pt>
                <c:pt idx="156">
                  <c:v>3.1010611331738117E-2</c:v>
                </c:pt>
                <c:pt idx="157">
                  <c:v>3.0932344061112595E-2</c:v>
                </c:pt>
                <c:pt idx="158">
                  <c:v>3.0854076790487055E-2</c:v>
                </c:pt>
                <c:pt idx="159">
                  <c:v>3.077580951986152E-2</c:v>
                </c:pt>
                <c:pt idx="160">
                  <c:v>3.0697542249236001E-2</c:v>
                </c:pt>
                <c:pt idx="161">
                  <c:v>3.0619274978610472E-2</c:v>
                </c:pt>
                <c:pt idx="162">
                  <c:v>3.054100770798494E-2</c:v>
                </c:pt>
                <c:pt idx="163">
                  <c:v>3.0462740437359397E-2</c:v>
                </c:pt>
                <c:pt idx="164">
                  <c:v>3.0384473166733879E-2</c:v>
                </c:pt>
                <c:pt idx="165">
                  <c:v>3.0306205896108353E-2</c:v>
                </c:pt>
                <c:pt idx="166">
                  <c:v>3.0227938625482818E-2</c:v>
                </c:pt>
                <c:pt idx="167">
                  <c:v>3.0149671354857278E-2</c:v>
                </c:pt>
                <c:pt idx="168">
                  <c:v>3.0071404084231756E-2</c:v>
                </c:pt>
                <c:pt idx="169">
                  <c:v>2.9993136813606231E-2</c:v>
                </c:pt>
                <c:pt idx="170">
                  <c:v>2.9914869542980699E-2</c:v>
                </c:pt>
                <c:pt idx="171">
                  <c:v>2.9836602272355163E-2</c:v>
                </c:pt>
                <c:pt idx="172">
                  <c:v>2.9758335001729634E-2</c:v>
                </c:pt>
                <c:pt idx="173">
                  <c:v>2.9680067731104109E-2</c:v>
                </c:pt>
                <c:pt idx="174">
                  <c:v>2.9601800460478576E-2</c:v>
                </c:pt>
                <c:pt idx="175">
                  <c:v>2.9523533189853041E-2</c:v>
                </c:pt>
                <c:pt idx="176">
                  <c:v>2.9445265919227512E-2</c:v>
                </c:pt>
                <c:pt idx="177">
                  <c:v>2.9366998648601986E-2</c:v>
                </c:pt>
                <c:pt idx="178">
                  <c:v>2.9288731377976454E-2</c:v>
                </c:pt>
                <c:pt idx="179">
                  <c:v>2.9210464107350918E-2</c:v>
                </c:pt>
                <c:pt idx="180">
                  <c:v>2.9132196836725393E-2</c:v>
                </c:pt>
                <c:pt idx="181">
                  <c:v>2.9053929566099868E-2</c:v>
                </c:pt>
                <c:pt idx="182">
                  <c:v>2.8975662295474332E-2</c:v>
                </c:pt>
                <c:pt idx="183">
                  <c:v>2.8897395024848796E-2</c:v>
                </c:pt>
                <c:pt idx="184">
                  <c:v>2.8819127754223271E-2</c:v>
                </c:pt>
                <c:pt idx="185">
                  <c:v>2.8740860483597745E-2</c:v>
                </c:pt>
                <c:pt idx="186">
                  <c:v>2.8662593212972209E-2</c:v>
                </c:pt>
                <c:pt idx="187">
                  <c:v>2.8584325942346674E-2</c:v>
                </c:pt>
                <c:pt idx="188">
                  <c:v>2.8506058671721148E-2</c:v>
                </c:pt>
                <c:pt idx="189">
                  <c:v>2.8427791401095623E-2</c:v>
                </c:pt>
                <c:pt idx="190">
                  <c:v>2.8349524130470087E-2</c:v>
                </c:pt>
                <c:pt idx="191">
                  <c:v>2.8271256859844555E-2</c:v>
                </c:pt>
                <c:pt idx="192">
                  <c:v>2.8192989589219029E-2</c:v>
                </c:pt>
                <c:pt idx="193">
                  <c:v>2.8114722318593501E-2</c:v>
                </c:pt>
                <c:pt idx="194">
                  <c:v>2.8036455047967965E-2</c:v>
                </c:pt>
                <c:pt idx="195">
                  <c:v>2.7958187777342432E-2</c:v>
                </c:pt>
                <c:pt idx="196">
                  <c:v>2.7879920506716907E-2</c:v>
                </c:pt>
                <c:pt idx="197">
                  <c:v>2.7801653236091378E-2</c:v>
                </c:pt>
                <c:pt idx="198">
                  <c:v>2.7723385965465846E-2</c:v>
                </c:pt>
                <c:pt idx="199">
                  <c:v>2.7645118694840314E-2</c:v>
                </c:pt>
                <c:pt idx="200">
                  <c:v>2.7566851424214785E-2</c:v>
                </c:pt>
                <c:pt idx="201">
                  <c:v>2.7488584153589256E-2</c:v>
                </c:pt>
                <c:pt idx="202">
                  <c:v>2.7410316882963724E-2</c:v>
                </c:pt>
                <c:pt idx="203">
                  <c:v>2.7332049612338198E-2</c:v>
                </c:pt>
                <c:pt idx="204">
                  <c:v>2.7253782341712662E-2</c:v>
                </c:pt>
                <c:pt idx="205">
                  <c:v>2.7175515071087133E-2</c:v>
                </c:pt>
                <c:pt idx="206">
                  <c:v>2.7097247800461601E-2</c:v>
                </c:pt>
                <c:pt idx="207">
                  <c:v>2.7018980529836076E-2</c:v>
                </c:pt>
                <c:pt idx="208">
                  <c:v>2.694071325921054E-2</c:v>
                </c:pt>
                <c:pt idx="209">
                  <c:v>2.6862445988585015E-2</c:v>
                </c:pt>
                <c:pt idx="210">
                  <c:v>2.6784178717959482E-2</c:v>
                </c:pt>
                <c:pt idx="211">
                  <c:v>2.6705911447333953E-2</c:v>
                </c:pt>
                <c:pt idx="212">
                  <c:v>2.6627644176708418E-2</c:v>
                </c:pt>
                <c:pt idx="213">
                  <c:v>2.6549376906082892E-2</c:v>
                </c:pt>
                <c:pt idx="214">
                  <c:v>2.647110963545736E-2</c:v>
                </c:pt>
                <c:pt idx="215">
                  <c:v>2.6392842364831831E-2</c:v>
                </c:pt>
                <c:pt idx="216">
                  <c:v>2.6314575094206295E-2</c:v>
                </c:pt>
                <c:pt idx="217">
                  <c:v>2.623630782358077E-2</c:v>
                </c:pt>
                <c:pt idx="218">
                  <c:v>2.6158040552955238E-2</c:v>
                </c:pt>
                <c:pt idx="219">
                  <c:v>2.6079773282329709E-2</c:v>
                </c:pt>
                <c:pt idx="220">
                  <c:v>2.6001506011704176E-2</c:v>
                </c:pt>
                <c:pt idx="221">
                  <c:v>2.5923238741078651E-2</c:v>
                </c:pt>
                <c:pt idx="222">
                  <c:v>2.5844971470453115E-2</c:v>
                </c:pt>
                <c:pt idx="223">
                  <c:v>2.5766704199827586E-2</c:v>
                </c:pt>
                <c:pt idx="224">
                  <c:v>2.5688436929202054E-2</c:v>
                </c:pt>
                <c:pt idx="225">
                  <c:v>2.5610169658576529E-2</c:v>
                </c:pt>
                <c:pt idx="226">
                  <c:v>2.5531902387950993E-2</c:v>
                </c:pt>
                <c:pt idx="227">
                  <c:v>2.5453635117325464E-2</c:v>
                </c:pt>
                <c:pt idx="228">
                  <c:v>2.5375367846699942E-2</c:v>
                </c:pt>
                <c:pt idx="229">
                  <c:v>2.5297100576074406E-2</c:v>
                </c:pt>
                <c:pt idx="230">
                  <c:v>2.5218833305448878E-2</c:v>
                </c:pt>
                <c:pt idx="231">
                  <c:v>2.5140566034823345E-2</c:v>
                </c:pt>
                <c:pt idx="232">
                  <c:v>2.506229876419782E-2</c:v>
                </c:pt>
                <c:pt idx="233">
                  <c:v>2.4984031493572284E-2</c:v>
                </c:pt>
                <c:pt idx="234">
                  <c:v>2.4905764222946755E-2</c:v>
                </c:pt>
                <c:pt idx="235">
                  <c:v>2.4827496952321223E-2</c:v>
                </c:pt>
                <c:pt idx="236">
                  <c:v>2.4749229681695697E-2</c:v>
                </c:pt>
                <c:pt idx="237">
                  <c:v>2.4670962411070162E-2</c:v>
                </c:pt>
                <c:pt idx="238">
                  <c:v>2.4592695140444636E-2</c:v>
                </c:pt>
                <c:pt idx="239">
                  <c:v>2.4514427869819101E-2</c:v>
                </c:pt>
                <c:pt idx="240">
                  <c:v>2.4436160599193575E-2</c:v>
                </c:pt>
                <c:pt idx="241">
                  <c:v>2.4357893328568039E-2</c:v>
                </c:pt>
                <c:pt idx="242">
                  <c:v>2.427962605794251E-2</c:v>
                </c:pt>
                <c:pt idx="243">
                  <c:v>2.4201358787316982E-2</c:v>
                </c:pt>
                <c:pt idx="244">
                  <c:v>2.4123091516691453E-2</c:v>
                </c:pt>
                <c:pt idx="245">
                  <c:v>2.4044824246065924E-2</c:v>
                </c:pt>
                <c:pt idx="246">
                  <c:v>2.3966556975440392E-2</c:v>
                </c:pt>
                <c:pt idx="247">
                  <c:v>2.3888289704814863E-2</c:v>
                </c:pt>
                <c:pt idx="248">
                  <c:v>2.381002243418933E-2</c:v>
                </c:pt>
                <c:pt idx="249">
                  <c:v>2.3731755163563802E-2</c:v>
                </c:pt>
                <c:pt idx="250">
                  <c:v>2.3653487892938273E-2</c:v>
                </c:pt>
                <c:pt idx="251">
                  <c:v>2.357522062231274E-2</c:v>
                </c:pt>
                <c:pt idx="252">
                  <c:v>2.3496953351687208E-2</c:v>
                </c:pt>
                <c:pt idx="253">
                  <c:v>2.3418686081061679E-2</c:v>
                </c:pt>
                <c:pt idx="254">
                  <c:v>2.334041881043615E-2</c:v>
                </c:pt>
                <c:pt idx="255">
                  <c:v>2.3262151539810618E-2</c:v>
                </c:pt>
                <c:pt idx="256">
                  <c:v>2.3183884269185089E-2</c:v>
                </c:pt>
                <c:pt idx="257">
                  <c:v>2.3105616998559557E-2</c:v>
                </c:pt>
                <c:pt idx="258">
                  <c:v>2.3027349727934028E-2</c:v>
                </c:pt>
                <c:pt idx="259">
                  <c:v>2.2949082457308496E-2</c:v>
                </c:pt>
                <c:pt idx="260">
                  <c:v>2.2870815186682967E-2</c:v>
                </c:pt>
                <c:pt idx="261">
                  <c:v>2.2792547916057435E-2</c:v>
                </c:pt>
                <c:pt idx="262">
                  <c:v>2.2714280645431906E-2</c:v>
                </c:pt>
                <c:pt idx="263">
                  <c:v>2.2636013374806377E-2</c:v>
                </c:pt>
                <c:pt idx="264">
                  <c:v>2.2557746104180845E-2</c:v>
                </c:pt>
                <c:pt idx="265">
                  <c:v>2.2479478833555316E-2</c:v>
                </c:pt>
                <c:pt idx="266">
                  <c:v>2.2401211562929783E-2</c:v>
                </c:pt>
                <c:pt idx="267">
                  <c:v>2.2322944292304255E-2</c:v>
                </c:pt>
                <c:pt idx="268">
                  <c:v>2.2244677021678722E-2</c:v>
                </c:pt>
                <c:pt idx="269">
                  <c:v>2.2166409751053193E-2</c:v>
                </c:pt>
                <c:pt idx="270">
                  <c:v>2.2088142480427661E-2</c:v>
                </c:pt>
                <c:pt idx="271">
                  <c:v>2.2009875209802132E-2</c:v>
                </c:pt>
                <c:pt idx="272">
                  <c:v>2.1931607939176603E-2</c:v>
                </c:pt>
                <c:pt idx="273">
                  <c:v>2.1853340668551071E-2</c:v>
                </c:pt>
                <c:pt idx="274">
                  <c:v>2.1775073397925542E-2</c:v>
                </c:pt>
                <c:pt idx="275">
                  <c:v>2.169680612730001E-2</c:v>
                </c:pt>
                <c:pt idx="276">
                  <c:v>2.1618538856674481E-2</c:v>
                </c:pt>
                <c:pt idx="277">
                  <c:v>2.1540271586048949E-2</c:v>
                </c:pt>
                <c:pt idx="278">
                  <c:v>2.1462004315423423E-2</c:v>
                </c:pt>
                <c:pt idx="279">
                  <c:v>2.1383737044797891E-2</c:v>
                </c:pt>
                <c:pt idx="280">
                  <c:v>2.1305469774172362E-2</c:v>
                </c:pt>
                <c:pt idx="281">
                  <c:v>2.122720250354683E-2</c:v>
                </c:pt>
                <c:pt idx="282">
                  <c:v>2.1148935232921301E-2</c:v>
                </c:pt>
                <c:pt idx="283">
                  <c:v>2.1070667962295772E-2</c:v>
                </c:pt>
                <c:pt idx="284">
                  <c:v>2.099240069167024E-2</c:v>
                </c:pt>
                <c:pt idx="285">
                  <c:v>2.0914133421044711E-2</c:v>
                </c:pt>
                <c:pt idx="286">
                  <c:v>2.0835866150419179E-2</c:v>
                </c:pt>
                <c:pt idx="287">
                  <c:v>2.075759887979365E-2</c:v>
                </c:pt>
                <c:pt idx="288">
                  <c:v>2.0679331609168117E-2</c:v>
                </c:pt>
                <c:pt idx="289">
                  <c:v>2.0601064338542589E-2</c:v>
                </c:pt>
                <c:pt idx="290">
                  <c:v>2.0522797067917056E-2</c:v>
                </c:pt>
                <c:pt idx="291">
                  <c:v>2.0444529797291527E-2</c:v>
                </c:pt>
                <c:pt idx="292">
                  <c:v>2.0366262526665995E-2</c:v>
                </c:pt>
                <c:pt idx="293">
                  <c:v>2.0287995256040466E-2</c:v>
                </c:pt>
                <c:pt idx="294">
                  <c:v>2.0209727985414934E-2</c:v>
                </c:pt>
                <c:pt idx="295">
                  <c:v>2.0131460714789405E-2</c:v>
                </c:pt>
                <c:pt idx="296">
                  <c:v>2.0053193444163873E-2</c:v>
                </c:pt>
                <c:pt idx="297">
                  <c:v>1.9974926173538347E-2</c:v>
                </c:pt>
                <c:pt idx="298">
                  <c:v>1.9896658902912815E-2</c:v>
                </c:pt>
                <c:pt idx="299">
                  <c:v>1.9818391632287286E-2</c:v>
                </c:pt>
                <c:pt idx="300">
                  <c:v>1.9740124361661754E-2</c:v>
                </c:pt>
                <c:pt idx="301">
                  <c:v>1.9661857091036225E-2</c:v>
                </c:pt>
                <c:pt idx="302">
                  <c:v>1.9583589820410693E-2</c:v>
                </c:pt>
                <c:pt idx="303">
                  <c:v>1.9505322549785164E-2</c:v>
                </c:pt>
                <c:pt idx="304">
                  <c:v>1.9427055279159638E-2</c:v>
                </c:pt>
                <c:pt idx="305">
                  <c:v>1.9348788008534106E-2</c:v>
                </c:pt>
                <c:pt idx="306">
                  <c:v>1.9270520737908577E-2</c:v>
                </c:pt>
                <c:pt idx="307">
                  <c:v>1.9192253467283045E-2</c:v>
                </c:pt>
                <c:pt idx="308">
                  <c:v>1.9113986196657516E-2</c:v>
                </c:pt>
                <c:pt idx="309">
                  <c:v>1.9035718926031984E-2</c:v>
                </c:pt>
                <c:pt idx="310">
                  <c:v>1.8957451655406455E-2</c:v>
                </c:pt>
                <c:pt idx="311">
                  <c:v>1.8879184384780923E-2</c:v>
                </c:pt>
                <c:pt idx="312">
                  <c:v>1.8800917114155394E-2</c:v>
                </c:pt>
                <c:pt idx="313">
                  <c:v>1.8722649843529861E-2</c:v>
                </c:pt>
                <c:pt idx="314">
                  <c:v>1.8644382572904333E-2</c:v>
                </c:pt>
                <c:pt idx="315">
                  <c:v>1.85661153022788E-2</c:v>
                </c:pt>
                <c:pt idx="316">
                  <c:v>1.8487848031653271E-2</c:v>
                </c:pt>
                <c:pt idx="317">
                  <c:v>1.8409580761027739E-2</c:v>
                </c:pt>
                <c:pt idx="318">
                  <c:v>1.833131349040221E-2</c:v>
                </c:pt>
                <c:pt idx="319">
                  <c:v>1.8253046219776678E-2</c:v>
                </c:pt>
                <c:pt idx="320">
                  <c:v>1.8174778949151149E-2</c:v>
                </c:pt>
                <c:pt idx="321">
                  <c:v>1.809651167852562E-2</c:v>
                </c:pt>
                <c:pt idx="322">
                  <c:v>1.8018244407900088E-2</c:v>
                </c:pt>
                <c:pt idx="323">
                  <c:v>1.7939977137274559E-2</c:v>
                </c:pt>
                <c:pt idx="324">
                  <c:v>1.7861709866649027E-2</c:v>
                </c:pt>
                <c:pt idx="325">
                  <c:v>1.7783442596023498E-2</c:v>
                </c:pt>
                <c:pt idx="326">
                  <c:v>1.7705175325397966E-2</c:v>
                </c:pt>
                <c:pt idx="327">
                  <c:v>1.7626908054772437E-2</c:v>
                </c:pt>
                <c:pt idx="328">
                  <c:v>1.7548640784146908E-2</c:v>
                </c:pt>
                <c:pt idx="329">
                  <c:v>1.7470373513521376E-2</c:v>
                </c:pt>
                <c:pt idx="330">
                  <c:v>1.7392106242895847E-2</c:v>
                </c:pt>
                <c:pt idx="331">
                  <c:v>1.7313838972270318E-2</c:v>
                </c:pt>
                <c:pt idx="332">
                  <c:v>1.7235571701644786E-2</c:v>
                </c:pt>
                <c:pt idx="333">
                  <c:v>1.7157304431019253E-2</c:v>
                </c:pt>
                <c:pt idx="334">
                  <c:v>1.7079037160393724E-2</c:v>
                </c:pt>
                <c:pt idx="335">
                  <c:v>1.7000769889768196E-2</c:v>
                </c:pt>
                <c:pt idx="336">
                  <c:v>1.6922502619142663E-2</c:v>
                </c:pt>
                <c:pt idx="337">
                  <c:v>1.6844235348517134E-2</c:v>
                </c:pt>
                <c:pt idx="338">
                  <c:v>1.6765968077891602E-2</c:v>
                </c:pt>
                <c:pt idx="339">
                  <c:v>1.6687700807266073E-2</c:v>
                </c:pt>
                <c:pt idx="340">
                  <c:v>1.6609433536640544E-2</c:v>
                </c:pt>
                <c:pt idx="341">
                  <c:v>1.6531166266015012E-2</c:v>
                </c:pt>
                <c:pt idx="342">
                  <c:v>1.645289899538948E-2</c:v>
                </c:pt>
                <c:pt idx="343">
                  <c:v>1.6374631724763951E-2</c:v>
                </c:pt>
                <c:pt idx="344">
                  <c:v>1.6296364454138422E-2</c:v>
                </c:pt>
                <c:pt idx="345">
                  <c:v>1.6218097183512893E-2</c:v>
                </c:pt>
                <c:pt idx="346">
                  <c:v>1.6139829912887361E-2</c:v>
                </c:pt>
                <c:pt idx="347">
                  <c:v>1.6061562642261832E-2</c:v>
                </c:pt>
                <c:pt idx="348">
                  <c:v>1.59832953716363E-2</c:v>
                </c:pt>
                <c:pt idx="349">
                  <c:v>1.5905028101010771E-2</c:v>
                </c:pt>
                <c:pt idx="350">
                  <c:v>1.5826760830385242E-2</c:v>
                </c:pt>
                <c:pt idx="351">
                  <c:v>1.574849355975971E-2</c:v>
                </c:pt>
                <c:pt idx="352">
                  <c:v>1.5670226289134181E-2</c:v>
                </c:pt>
                <c:pt idx="353">
                  <c:v>1.559195901850865E-2</c:v>
                </c:pt>
                <c:pt idx="354">
                  <c:v>1.551369174788312E-2</c:v>
                </c:pt>
                <c:pt idx="355">
                  <c:v>1.5435424477257589E-2</c:v>
                </c:pt>
                <c:pt idx="356">
                  <c:v>1.5357157206632058E-2</c:v>
                </c:pt>
                <c:pt idx="357">
                  <c:v>1.527888993600653E-2</c:v>
                </c:pt>
                <c:pt idx="358">
                  <c:v>1.5200622665381001E-2</c:v>
                </c:pt>
                <c:pt idx="359">
                  <c:v>1.5122355394755468E-2</c:v>
                </c:pt>
                <c:pt idx="360">
                  <c:v>1.504408812412994E-2</c:v>
                </c:pt>
                <c:pt idx="361">
                  <c:v>1.4965820853504407E-2</c:v>
                </c:pt>
                <c:pt idx="362">
                  <c:v>1.4887553582878878E-2</c:v>
                </c:pt>
                <c:pt idx="363">
                  <c:v>1.4809286312253348E-2</c:v>
                </c:pt>
                <c:pt idx="364">
                  <c:v>1.4731019041627817E-2</c:v>
                </c:pt>
                <c:pt idx="365">
                  <c:v>1.4652751771002287E-2</c:v>
                </c:pt>
                <c:pt idx="366">
                  <c:v>1.4574484500376756E-2</c:v>
                </c:pt>
                <c:pt idx="367">
                  <c:v>1.4496217229751225E-2</c:v>
                </c:pt>
                <c:pt idx="368">
                  <c:v>1.4417949959125695E-2</c:v>
                </c:pt>
                <c:pt idx="369">
                  <c:v>1.4339682688500164E-2</c:v>
                </c:pt>
                <c:pt idx="370">
                  <c:v>1.4261415417874637E-2</c:v>
                </c:pt>
                <c:pt idx="371">
                  <c:v>1.4183148147249105E-2</c:v>
                </c:pt>
                <c:pt idx="372">
                  <c:v>1.4104880876623576E-2</c:v>
                </c:pt>
                <c:pt idx="373">
                  <c:v>1.4026613605998044E-2</c:v>
                </c:pt>
                <c:pt idx="374">
                  <c:v>1.3948346335372515E-2</c:v>
                </c:pt>
                <c:pt idx="375">
                  <c:v>1.3870079064746983E-2</c:v>
                </c:pt>
                <c:pt idx="376">
                  <c:v>1.3791811794121454E-2</c:v>
                </c:pt>
                <c:pt idx="377">
                  <c:v>1.3713544523495921E-2</c:v>
                </c:pt>
                <c:pt idx="378">
                  <c:v>1.3635277252870392E-2</c:v>
                </c:pt>
                <c:pt idx="379">
                  <c:v>1.3557009982244862E-2</c:v>
                </c:pt>
                <c:pt idx="380">
                  <c:v>1.3478742711619333E-2</c:v>
                </c:pt>
                <c:pt idx="381">
                  <c:v>1.3400475440993802E-2</c:v>
                </c:pt>
                <c:pt idx="382">
                  <c:v>1.3322208170368272E-2</c:v>
                </c:pt>
                <c:pt idx="383">
                  <c:v>1.3243940899742741E-2</c:v>
                </c:pt>
                <c:pt idx="384">
                  <c:v>1.3165673629117211E-2</c:v>
                </c:pt>
                <c:pt idx="385">
                  <c:v>1.308740635849168E-2</c:v>
                </c:pt>
                <c:pt idx="386">
                  <c:v>1.300913908786615E-2</c:v>
                </c:pt>
                <c:pt idx="387">
                  <c:v>1.2930871817240619E-2</c:v>
                </c:pt>
                <c:pt idx="388">
                  <c:v>1.2852604546615088E-2</c:v>
                </c:pt>
                <c:pt idx="389">
                  <c:v>1.2774337275989561E-2</c:v>
                </c:pt>
                <c:pt idx="390">
                  <c:v>1.2696070005364029E-2</c:v>
                </c:pt>
                <c:pt idx="391">
                  <c:v>1.26178027347385E-2</c:v>
                </c:pt>
                <c:pt idx="392">
                  <c:v>1.253953546411297E-2</c:v>
                </c:pt>
                <c:pt idx="393">
                  <c:v>1.2461268193487439E-2</c:v>
                </c:pt>
                <c:pt idx="394">
                  <c:v>1.2383000922861908E-2</c:v>
                </c:pt>
                <c:pt idx="395">
                  <c:v>1.2304733652236378E-2</c:v>
                </c:pt>
                <c:pt idx="396">
                  <c:v>1.2226466381610847E-2</c:v>
                </c:pt>
                <c:pt idx="397">
                  <c:v>1.2148199110985317E-2</c:v>
                </c:pt>
                <c:pt idx="398">
                  <c:v>1.2069931840359786E-2</c:v>
                </c:pt>
                <c:pt idx="399">
                  <c:v>1.1991664569734257E-2</c:v>
                </c:pt>
                <c:pt idx="400">
                  <c:v>1.1913397299108727E-2</c:v>
                </c:pt>
                <c:pt idx="401">
                  <c:v>1.1835130028483196E-2</c:v>
                </c:pt>
                <c:pt idx="402">
                  <c:v>1.1756862757857665E-2</c:v>
                </c:pt>
                <c:pt idx="403">
                  <c:v>1.1678595487232137E-2</c:v>
                </c:pt>
                <c:pt idx="404">
                  <c:v>1.1600328216606606E-2</c:v>
                </c:pt>
                <c:pt idx="405">
                  <c:v>1.1522060945981075E-2</c:v>
                </c:pt>
                <c:pt idx="406">
                  <c:v>1.1443793675355545E-2</c:v>
                </c:pt>
                <c:pt idx="407">
                  <c:v>1.1365526404730016E-2</c:v>
                </c:pt>
                <c:pt idx="408">
                  <c:v>1.1287259134104485E-2</c:v>
                </c:pt>
                <c:pt idx="409">
                  <c:v>1.1208991863478955E-2</c:v>
                </c:pt>
                <c:pt idx="410">
                  <c:v>1.1130724592853424E-2</c:v>
                </c:pt>
                <c:pt idx="411">
                  <c:v>1.1052457322227894E-2</c:v>
                </c:pt>
                <c:pt idx="412">
                  <c:v>1.0974190051602363E-2</c:v>
                </c:pt>
                <c:pt idx="413">
                  <c:v>1.0895922780976832E-2</c:v>
                </c:pt>
                <c:pt idx="414">
                  <c:v>1.0817655510351302E-2</c:v>
                </c:pt>
                <c:pt idx="415">
                  <c:v>1.0739388239725771E-2</c:v>
                </c:pt>
                <c:pt idx="416">
                  <c:v>1.0661120969100241E-2</c:v>
                </c:pt>
                <c:pt idx="417">
                  <c:v>1.0582853698474712E-2</c:v>
                </c:pt>
                <c:pt idx="418">
                  <c:v>1.0504586427849181E-2</c:v>
                </c:pt>
                <c:pt idx="419">
                  <c:v>1.0426319157223651E-2</c:v>
                </c:pt>
                <c:pt idx="420">
                  <c:v>1.0348051886598122E-2</c:v>
                </c:pt>
                <c:pt idx="421">
                  <c:v>1.0269784615972589E-2</c:v>
                </c:pt>
                <c:pt idx="422">
                  <c:v>1.0191517345347061E-2</c:v>
                </c:pt>
                <c:pt idx="423">
                  <c:v>1.0113250074721528E-2</c:v>
                </c:pt>
                <c:pt idx="424">
                  <c:v>1.0034982804095999E-2</c:v>
                </c:pt>
                <c:pt idx="425">
                  <c:v>9.9567155334704689E-3</c:v>
                </c:pt>
                <c:pt idx="426">
                  <c:v>9.8784482628449383E-3</c:v>
                </c:pt>
                <c:pt idx="427">
                  <c:v>9.8001809922194094E-3</c:v>
                </c:pt>
                <c:pt idx="428">
                  <c:v>9.7219137215938788E-3</c:v>
                </c:pt>
                <c:pt idx="429">
                  <c:v>9.6436464509683482E-3</c:v>
                </c:pt>
                <c:pt idx="430">
                  <c:v>9.5653791803428177E-3</c:v>
                </c:pt>
                <c:pt idx="431">
                  <c:v>9.4871119097172871E-3</c:v>
                </c:pt>
                <c:pt idx="432">
                  <c:v>9.4088446390917565E-3</c:v>
                </c:pt>
                <c:pt idx="433">
                  <c:v>9.3305773684662276E-3</c:v>
                </c:pt>
                <c:pt idx="434">
                  <c:v>9.2523100978406971E-3</c:v>
                </c:pt>
                <c:pt idx="435">
                  <c:v>9.1740428272151682E-3</c:v>
                </c:pt>
                <c:pt idx="436">
                  <c:v>9.0957755565896359E-3</c:v>
                </c:pt>
                <c:pt idx="437">
                  <c:v>9.017508285964107E-3</c:v>
                </c:pt>
                <c:pt idx="438">
                  <c:v>8.9392410153385747E-3</c:v>
                </c:pt>
                <c:pt idx="439">
                  <c:v>8.8609737447130459E-3</c:v>
                </c:pt>
                <c:pt idx="440">
                  <c:v>8.7827064740875135E-3</c:v>
                </c:pt>
                <c:pt idx="441">
                  <c:v>8.7044392034619847E-3</c:v>
                </c:pt>
                <c:pt idx="442">
                  <c:v>8.6261719328364558E-3</c:v>
                </c:pt>
                <c:pt idx="443">
                  <c:v>8.5479046622109235E-3</c:v>
                </c:pt>
                <c:pt idx="444">
                  <c:v>8.4696373915853947E-3</c:v>
                </c:pt>
                <c:pt idx="445">
                  <c:v>8.3913701209598623E-3</c:v>
                </c:pt>
                <c:pt idx="446">
                  <c:v>8.3131028503343335E-3</c:v>
                </c:pt>
                <c:pt idx="447">
                  <c:v>8.2348355797088012E-3</c:v>
                </c:pt>
                <c:pt idx="448">
                  <c:v>8.1565683090832723E-3</c:v>
                </c:pt>
                <c:pt idx="449">
                  <c:v>8.07830103845774E-3</c:v>
                </c:pt>
                <c:pt idx="450">
                  <c:v>8.0000337678322112E-3</c:v>
                </c:pt>
                <c:pt idx="451">
                  <c:v>7.9217664972066823E-3</c:v>
                </c:pt>
                <c:pt idx="452">
                  <c:v>7.84349922658115E-3</c:v>
                </c:pt>
                <c:pt idx="453">
                  <c:v>7.7652319559556211E-3</c:v>
                </c:pt>
                <c:pt idx="454">
                  <c:v>7.6869646853300888E-3</c:v>
                </c:pt>
                <c:pt idx="455">
                  <c:v>7.6086974147045617E-3</c:v>
                </c:pt>
                <c:pt idx="456">
                  <c:v>7.5304301440790294E-3</c:v>
                </c:pt>
                <c:pt idx="457">
                  <c:v>7.4521628734535005E-3</c:v>
                </c:pt>
                <c:pt idx="458">
                  <c:v>7.3738956028279682E-3</c:v>
                </c:pt>
                <c:pt idx="459">
                  <c:v>7.2956283322024394E-3</c:v>
                </c:pt>
                <c:pt idx="460">
                  <c:v>7.217361061576907E-3</c:v>
                </c:pt>
                <c:pt idx="461">
                  <c:v>7.1390937909513782E-3</c:v>
                </c:pt>
                <c:pt idx="462">
                  <c:v>7.0608265203258493E-3</c:v>
                </c:pt>
                <c:pt idx="463">
                  <c:v>6.982559249700317E-3</c:v>
                </c:pt>
                <c:pt idx="464">
                  <c:v>6.9042919790747882E-3</c:v>
                </c:pt>
                <c:pt idx="465">
                  <c:v>6.8260247084492558E-3</c:v>
                </c:pt>
                <c:pt idx="466">
                  <c:v>6.747757437823727E-3</c:v>
                </c:pt>
                <c:pt idx="467">
                  <c:v>6.6694901671981947E-3</c:v>
                </c:pt>
                <c:pt idx="468">
                  <c:v>6.5912228965726658E-3</c:v>
                </c:pt>
                <c:pt idx="469">
                  <c:v>6.5129556259471335E-3</c:v>
                </c:pt>
                <c:pt idx="470">
                  <c:v>6.4346883553216046E-3</c:v>
                </c:pt>
                <c:pt idx="471">
                  <c:v>6.3564210846960758E-3</c:v>
                </c:pt>
                <c:pt idx="472">
                  <c:v>6.2781538140705452E-3</c:v>
                </c:pt>
                <c:pt idx="473">
                  <c:v>6.1998865434450164E-3</c:v>
                </c:pt>
                <c:pt idx="474">
                  <c:v>6.121619272819484E-3</c:v>
                </c:pt>
                <c:pt idx="475">
                  <c:v>6.0433520021939552E-3</c:v>
                </c:pt>
                <c:pt idx="476">
                  <c:v>5.9650847315684229E-3</c:v>
                </c:pt>
                <c:pt idx="477">
                  <c:v>5.886817460942894E-3</c:v>
                </c:pt>
                <c:pt idx="478">
                  <c:v>5.8085501903173617E-3</c:v>
                </c:pt>
                <c:pt idx="479">
                  <c:v>5.7302829196918328E-3</c:v>
                </c:pt>
                <c:pt idx="480">
                  <c:v>5.6520156490663005E-3</c:v>
                </c:pt>
                <c:pt idx="481">
                  <c:v>5.5737483784407717E-3</c:v>
                </c:pt>
                <c:pt idx="482">
                  <c:v>5.4954811078152428E-3</c:v>
                </c:pt>
                <c:pt idx="483">
                  <c:v>5.4172138371897105E-3</c:v>
                </c:pt>
                <c:pt idx="484">
                  <c:v>5.3389465665641817E-3</c:v>
                </c:pt>
                <c:pt idx="485">
                  <c:v>5.2606792959386493E-3</c:v>
                </c:pt>
                <c:pt idx="486">
                  <c:v>5.1824120253131205E-3</c:v>
                </c:pt>
                <c:pt idx="487">
                  <c:v>5.1041447546875882E-3</c:v>
                </c:pt>
                <c:pt idx="488">
                  <c:v>5.0258774840620593E-3</c:v>
                </c:pt>
                <c:pt idx="489">
                  <c:v>4.947610213436527E-3</c:v>
                </c:pt>
                <c:pt idx="490">
                  <c:v>4.8693429428109981E-3</c:v>
                </c:pt>
                <c:pt idx="491">
                  <c:v>4.7910756721854693E-3</c:v>
                </c:pt>
                <c:pt idx="492">
                  <c:v>4.712808401559937E-3</c:v>
                </c:pt>
                <c:pt idx="493">
                  <c:v>4.6345411309344081E-3</c:v>
                </c:pt>
                <c:pt idx="494">
                  <c:v>4.5562738603088758E-3</c:v>
                </c:pt>
                <c:pt idx="495">
                  <c:v>4.4780065896833469E-3</c:v>
                </c:pt>
                <c:pt idx="496">
                  <c:v>4.3997393190578146E-3</c:v>
                </c:pt>
                <c:pt idx="497">
                  <c:v>4.3214720484322892E-3</c:v>
                </c:pt>
                <c:pt idx="498">
                  <c:v>4.2432047778067569E-3</c:v>
                </c:pt>
                <c:pt idx="499">
                  <c:v>4.1649375071812281E-3</c:v>
                </c:pt>
                <c:pt idx="500">
                  <c:v>4.0866702365556958E-3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AE-AE45-80CD-E9E00DF65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2171648"/>
        <c:axId val="991103168"/>
      </c:scatterChart>
      <c:valAx>
        <c:axId val="101217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Standard Deviation (Risk)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103168"/>
        <c:crosses val="autoZero"/>
        <c:crossBetween val="midCat"/>
      </c:valAx>
      <c:valAx>
        <c:axId val="9911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Return (Reward)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71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829732</xdr:colOff>
      <xdr:row>64</xdr:row>
      <xdr:rowOff>0</xdr:rowOff>
    </xdr:from>
    <xdr:to>
      <xdr:col>14</xdr:col>
      <xdr:colOff>0</xdr:colOff>
      <xdr:row>83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3A1D08-8ED6-9E44-8F9C-B38414ED0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B69B-CCD9-0145-9B98-A5CA9C9200B8}">
  <dimension ref="A1:W556"/>
  <sheetViews>
    <sheetView tabSelected="1" topLeftCell="A59" zoomScale="81" zoomScaleNormal="206" workbookViewId="0">
      <selection activeCell="Y110" sqref="Y110"/>
    </sheetView>
  </sheetViews>
  <sheetFormatPr baseColWidth="10" defaultRowHeight="13" x14ac:dyDescent="0.15"/>
  <cols>
    <col min="10" max="10" width="20" customWidth="1"/>
    <col min="11" max="11" width="10.83203125" customWidth="1"/>
    <col min="20" max="20" width="10.83203125" customWidth="1"/>
  </cols>
  <sheetData>
    <row r="1" spans="1:20" ht="14" thickBo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41" t="s">
        <v>18</v>
      </c>
      <c r="K1" s="41"/>
      <c r="L1" s="41"/>
      <c r="M1" s="41"/>
      <c r="N1" s="41"/>
      <c r="O1" s="41"/>
      <c r="P1" s="41"/>
      <c r="Q1" s="41"/>
    </row>
    <row r="2" spans="1:20" ht="14" thickTop="1" x14ac:dyDescent="0.15">
      <c r="A2" s="4">
        <v>23224</v>
      </c>
      <c r="B2">
        <v>4.6899999999999997E-2</v>
      </c>
      <c r="C2">
        <v>6.4299999999999996E-2</v>
      </c>
      <c r="D2">
        <v>3.49E-2</v>
      </c>
      <c r="E2">
        <v>7.0999999999999994E-2</v>
      </c>
      <c r="F2">
        <v>4.24E-2</v>
      </c>
      <c r="G2">
        <v>5.1299999999999998E-2</v>
      </c>
      <c r="H2">
        <v>3.3500000000000002E-2</v>
      </c>
      <c r="J2" s="8" t="s">
        <v>8</v>
      </c>
      <c r="K2" s="9">
        <f>AVERAGE(B2:B438)</f>
        <v>1.5310983981693355E-2</v>
      </c>
      <c r="L2" s="9">
        <f t="shared" ref="L2:P2" si="0">AVERAGE(C2:C438)</f>
        <v>1.5489244851258585E-2</v>
      </c>
      <c r="M2" s="9">
        <f t="shared" si="0"/>
        <v>1.3755606407322672E-2</v>
      </c>
      <c r="N2" s="9">
        <f t="shared" si="0"/>
        <v>1.7341647597253991E-2</v>
      </c>
      <c r="O2" s="9">
        <f>AVERAGE(F2:F438)</f>
        <v>1.0531807780320368E-2</v>
      </c>
      <c r="P2" s="9">
        <f t="shared" si="0"/>
        <v>1.9271853546910737E-2</v>
      </c>
      <c r="Q2" s="9">
        <f>AVERAGE(H2:H438)</f>
        <v>1.5730434782608688E-2</v>
      </c>
    </row>
    <row r="3" spans="1:20" x14ac:dyDescent="0.15">
      <c r="A3" s="4">
        <v>23255</v>
      </c>
      <c r="B3">
        <v>-7.6E-3</v>
      </c>
      <c r="C3">
        <v>-1.32E-2</v>
      </c>
      <c r="D3">
        <v>-3.3399999999999999E-2</v>
      </c>
      <c r="E3">
        <v>-2.5999999999999999E-3</v>
      </c>
      <c r="F3">
        <v>-2.4199999999999999E-2</v>
      </c>
      <c r="G3">
        <v>-2.23E-2</v>
      </c>
      <c r="H3">
        <v>-2.4899999999999999E-2</v>
      </c>
      <c r="J3" s="8" t="s">
        <v>13</v>
      </c>
      <c r="K3" s="9">
        <f>STDEV(B2:B438)</f>
        <v>4.5605810713313183E-2</v>
      </c>
      <c r="L3" s="9">
        <f t="shared" ref="L3:Q3" si="1">STDEV(C2:C438)</f>
        <v>4.6788921869920688E-2</v>
      </c>
      <c r="M3" s="9">
        <f t="shared" si="1"/>
        <v>5.0829440440697884E-2</v>
      </c>
      <c r="N3" s="9">
        <f t="shared" si="1"/>
        <v>5.4544329291225636E-2</v>
      </c>
      <c r="O3" s="9">
        <f t="shared" si="1"/>
        <v>3.9011840941578745E-2</v>
      </c>
      <c r="P3" s="9">
        <f t="shared" si="1"/>
        <v>5.5304777399496519E-2</v>
      </c>
      <c r="Q3" s="9">
        <f t="shared" si="1"/>
        <v>4.6882413058292209E-2</v>
      </c>
    </row>
    <row r="4" spans="1:20" x14ac:dyDescent="0.15">
      <c r="A4" s="4">
        <v>23285</v>
      </c>
      <c r="B4">
        <v>2.2100000000000002E-2</v>
      </c>
      <c r="C4">
        <v>3.2099999999999997E-2</v>
      </c>
      <c r="D4">
        <v>-4.1000000000000003E-3</v>
      </c>
      <c r="E4">
        <v>6.4299999999999996E-2</v>
      </c>
      <c r="F4">
        <v>-5.7999999999999996E-3</v>
      </c>
      <c r="G4">
        <v>-1.1299999999999999E-2</v>
      </c>
      <c r="H4">
        <v>5.4999999999999997E-3</v>
      </c>
      <c r="J4" s="10" t="s">
        <v>10</v>
      </c>
      <c r="K4" s="11">
        <v>5.4200000000000003E-3</v>
      </c>
      <c r="L4" s="8" t="s">
        <v>11</v>
      </c>
      <c r="M4" s="8"/>
      <c r="N4" s="8"/>
      <c r="O4" s="8"/>
      <c r="P4" s="8"/>
      <c r="Q4" s="8"/>
    </row>
    <row r="5" spans="1:20" x14ac:dyDescent="0.15">
      <c r="A5" s="4">
        <v>23316</v>
      </c>
      <c r="B5">
        <v>-4.5999999999999999E-3</v>
      </c>
      <c r="C5">
        <v>9.4000000000000004E-3</v>
      </c>
      <c r="D5">
        <v>-9.1999999999999998E-3</v>
      </c>
      <c r="E5">
        <v>1.9800000000000002E-2</v>
      </c>
      <c r="F5">
        <v>-9.7999999999999997E-3</v>
      </c>
      <c r="G5">
        <v>-2.1299999999999999E-2</v>
      </c>
      <c r="H5">
        <v>1.9599999999999999E-2</v>
      </c>
      <c r="J5" s="7"/>
    </row>
    <row r="6" spans="1:20" x14ac:dyDescent="0.15">
      <c r="A6" s="4">
        <v>23346</v>
      </c>
      <c r="B6">
        <v>3.0099999999999998E-2</v>
      </c>
      <c r="C6">
        <v>4.4900000000000002E-2</v>
      </c>
      <c r="D6">
        <v>0.05</v>
      </c>
      <c r="E6">
        <v>4.0899999999999999E-2</v>
      </c>
      <c r="F6">
        <v>2.5100000000000001E-2</v>
      </c>
      <c r="G6">
        <v>1.2999999999999999E-3</v>
      </c>
      <c r="H6">
        <v>1.61E-2</v>
      </c>
      <c r="J6" s="42" t="s">
        <v>14</v>
      </c>
      <c r="K6" s="42"/>
      <c r="L6" s="42"/>
      <c r="M6" s="42"/>
      <c r="N6" s="42"/>
      <c r="O6" s="42"/>
      <c r="P6" s="42"/>
      <c r="Q6" s="42"/>
    </row>
    <row r="7" spans="1:20" x14ac:dyDescent="0.15">
      <c r="A7" s="4">
        <v>23377</v>
      </c>
      <c r="B7">
        <v>1.2699999999999999E-2</v>
      </c>
      <c r="C7">
        <v>3.1800000000000002E-2</v>
      </c>
      <c r="D7">
        <v>4.9700000000000001E-2</v>
      </c>
      <c r="E7">
        <v>-2.9999999999999997E-4</v>
      </c>
      <c r="F7">
        <v>1.47E-2</v>
      </c>
      <c r="G7">
        <v>-6.9999999999999999E-4</v>
      </c>
      <c r="H7">
        <v>6.1999999999999998E-3</v>
      </c>
      <c r="J7" s="12"/>
      <c r="K7" s="12" t="s">
        <v>1</v>
      </c>
      <c r="L7" s="12" t="s">
        <v>2</v>
      </c>
      <c r="M7" s="12" t="s">
        <v>3</v>
      </c>
      <c r="N7" s="12" t="s">
        <v>4</v>
      </c>
      <c r="O7" s="12" t="s">
        <v>5</v>
      </c>
      <c r="P7" s="12" t="s">
        <v>6</v>
      </c>
      <c r="Q7" s="12" t="s">
        <v>7</v>
      </c>
    </row>
    <row r="8" spans="1:20" x14ac:dyDescent="0.15">
      <c r="A8" s="4">
        <v>23408</v>
      </c>
      <c r="B8">
        <v>1.2500000000000001E-2</v>
      </c>
      <c r="C8">
        <v>1.61E-2</v>
      </c>
      <c r="D8">
        <v>1.18E-2</v>
      </c>
      <c r="E8">
        <v>4.1599999999999998E-2</v>
      </c>
      <c r="F8">
        <v>9.2999999999999992E-3</v>
      </c>
      <c r="G8">
        <v>9.7000000000000003E-3</v>
      </c>
      <c r="H8">
        <v>2.98E-2</v>
      </c>
      <c r="J8" s="13" t="s">
        <v>1</v>
      </c>
      <c r="K8" s="14">
        <f>VARP($B$2:$B$438)</f>
        <v>2.0751304972011181E-3</v>
      </c>
      <c r="L8" s="14">
        <f>_xlfn.COVARIANCE.P(B2:B438, C2:C438)</f>
        <v>1.7795095002853874E-3</v>
      </c>
      <c r="M8" s="14">
        <f>_xlfn.COVARIANCE.P(B2:B438, D2:D438)</f>
        <v>1.0783782221721854E-3</v>
      </c>
      <c r="N8" s="14">
        <f>_xlfn.COVARIANCE.P(B2:B438, E2:E438)</f>
        <v>1.8299416706900077E-3</v>
      </c>
      <c r="O8" s="14">
        <f>_xlfn.COVARIANCE.P(B2:B438, F2:F438)</f>
        <v>1.2031570190449757E-3</v>
      </c>
      <c r="P8" s="14">
        <f>_xlfn.COVARIANCE.P(B2:B438, G2:G438)</f>
        <v>1.9962738789541766E-3</v>
      </c>
      <c r="Q8" s="14">
        <f>_xlfn.COVARIANCE.P(B2:B438, H2:H438)</f>
        <v>1.6713125261168032E-3</v>
      </c>
    </row>
    <row r="9" spans="1:20" x14ac:dyDescent="0.15">
      <c r="A9" s="4">
        <v>23437</v>
      </c>
      <c r="B9">
        <v>2.5700000000000001E-2</v>
      </c>
      <c r="C9">
        <v>1.26E-2</v>
      </c>
      <c r="D9">
        <v>1.7899999999999999E-2</v>
      </c>
      <c r="E9">
        <v>1.6400000000000001E-2</v>
      </c>
      <c r="F9">
        <v>-6.7000000000000002E-3</v>
      </c>
      <c r="G9">
        <v>3.4700000000000002E-2</v>
      </c>
      <c r="H9">
        <v>-5.8999999999999999E-3</v>
      </c>
      <c r="J9" s="13" t="s">
        <v>2</v>
      </c>
      <c r="K9" s="14">
        <f>L8</f>
        <v>1.7795095002853874E-3</v>
      </c>
      <c r="L9" s="14">
        <f>VARP($C$2:$C$438)</f>
        <v>2.1841935914205957E-3</v>
      </c>
      <c r="M9" s="14">
        <f>_xlfn.COVARIANCE.P(C2:C438, D2:D438)</f>
        <v>1.2713632754007193E-3</v>
      </c>
      <c r="N9" s="14">
        <f>_xlfn.COVARIANCE.P(C2:C438, E2:E438)</f>
        <v>2.1050874959810222E-3</v>
      </c>
      <c r="O9" s="14">
        <f>_xlfn.COVARIANCE.P(C2:C438, F2:F438)</f>
        <v>1.0731427677266986E-3</v>
      </c>
      <c r="P9" s="14">
        <f>_xlfn.COVARIANCE.P(C2:C438, G2:G438)</f>
        <v>2.0509512991113733E-3</v>
      </c>
      <c r="Q9" s="14">
        <f>_xlfn.COVARIANCE.P(C2:C438, H2:H438)</f>
        <v>1.6958168033031551E-3</v>
      </c>
    </row>
    <row r="10" spans="1:20" x14ac:dyDescent="0.15">
      <c r="A10" s="4">
        <v>23468</v>
      </c>
      <c r="B10">
        <v>-6.4999999999999997E-3</v>
      </c>
      <c r="C10">
        <v>-1.15E-2</v>
      </c>
      <c r="D10">
        <v>4.5400000000000003E-2</v>
      </c>
      <c r="E10">
        <v>1.3100000000000001E-2</v>
      </c>
      <c r="F10">
        <v>1.14E-2</v>
      </c>
      <c r="G10">
        <v>3.61E-2</v>
      </c>
      <c r="H10">
        <v>2.3400000000000001E-2</v>
      </c>
      <c r="J10" s="13" t="s">
        <v>3</v>
      </c>
      <c r="K10" s="14">
        <f>M8</f>
        <v>1.0783782221721854E-3</v>
      </c>
      <c r="L10" s="14">
        <f>M9</f>
        <v>1.2713632754007193E-3</v>
      </c>
      <c r="M10" s="14">
        <f>VARP($D$2:$D$438)</f>
        <v>2.5777198141059537E-3</v>
      </c>
      <c r="N10" s="14">
        <f>_xlfn.COVARIANCE.P(D2:D438, E2:E438)</f>
        <v>1.1278481646759418E-3</v>
      </c>
      <c r="O10" s="14">
        <f>_xlfn.COVARIANCE.P(D2:D438, F2:F438)</f>
        <v>1.1087757598877315E-3</v>
      </c>
      <c r="P10" s="14">
        <f>_xlfn.COVARIANCE.P(D2:D438, G2:G438)</f>
        <v>1.2972225491048282E-3</v>
      </c>
      <c r="Q10" s="14">
        <f>_xlfn.COVARIANCE.P(D2:D438, H2:H438)</f>
        <v>1.3327195204457269E-3</v>
      </c>
    </row>
    <row r="11" spans="1:20" x14ac:dyDescent="0.15">
      <c r="A11" s="4">
        <v>23498</v>
      </c>
      <c r="B11">
        <v>1.9199999999999998E-2</v>
      </c>
      <c r="C11">
        <v>2.41E-2</v>
      </c>
      <c r="D11">
        <v>2.3900000000000001E-2</v>
      </c>
      <c r="E11">
        <v>6.2300000000000001E-2</v>
      </c>
      <c r="F11">
        <v>9.4999999999999998E-3</v>
      </c>
      <c r="G11">
        <v>4.2099999999999999E-2</v>
      </c>
      <c r="H11">
        <v>-6.9999999999999999E-4</v>
      </c>
      <c r="J11" s="13" t="s">
        <v>4</v>
      </c>
      <c r="K11" s="14">
        <f>N8</f>
        <v>1.8299416706900077E-3</v>
      </c>
      <c r="L11" s="14">
        <f>N9</f>
        <v>2.1050874959810222E-3</v>
      </c>
      <c r="M11" s="14">
        <f>N10</f>
        <v>1.1278481646759418E-3</v>
      </c>
      <c r="N11" s="14">
        <f>VARP($E$2:$E$438)</f>
        <v>2.9682758856149419E-3</v>
      </c>
      <c r="O11" s="14">
        <f>_xlfn.COVARIANCE.P(E2:E438, F2:F438)</f>
        <v>1.0129135951908424E-3</v>
      </c>
      <c r="P11" s="14">
        <f>_xlfn.COVARIANCE.P(E2:E438, G2:G438)</f>
        <v>2.4502280829872911E-3</v>
      </c>
      <c r="Q11" s="14">
        <f>_xlfn.COVARIANCE.P(E2:E438, H2:H438)</f>
        <v>1.7767025768580249E-3</v>
      </c>
    </row>
    <row r="12" spans="1:20" x14ac:dyDescent="0.15">
      <c r="A12" s="4">
        <v>23529</v>
      </c>
      <c r="B12">
        <v>2.3099999999999999E-2</v>
      </c>
      <c r="C12">
        <v>-4.0000000000000002E-4</v>
      </c>
      <c r="D12">
        <v>7.3000000000000001E-3</v>
      </c>
      <c r="E12">
        <v>-3.0000000000000001E-3</v>
      </c>
      <c r="F12">
        <v>2.3099999999999999E-2</v>
      </c>
      <c r="G12">
        <v>2.86E-2</v>
      </c>
      <c r="H12">
        <v>-1.2999999999999999E-3</v>
      </c>
      <c r="J12" s="13" t="s">
        <v>5</v>
      </c>
      <c r="K12" s="14">
        <f>O8</f>
        <v>1.2031570190449757E-3</v>
      </c>
      <c r="L12" s="14">
        <f>O9</f>
        <v>1.0731427677266986E-3</v>
      </c>
      <c r="M12" s="14">
        <f>O10</f>
        <v>1.1087757598877315E-3</v>
      </c>
      <c r="N12" s="14">
        <f>O11</f>
        <v>1.0129135951908424E-3</v>
      </c>
      <c r="O12" s="14">
        <f>VARP($F$2:$F$438)</f>
        <v>1.5184410706449733E-3</v>
      </c>
      <c r="P12" s="14">
        <f>_xlfn.COVARIANCE.P(F2:F438, G2:G438)</f>
        <v>1.2153605520267695E-3</v>
      </c>
      <c r="Q12" s="14">
        <f>_xlfn.COVARIANCE.P(F2:F438, H2:H438)</f>
        <v>1.2741784369714449E-3</v>
      </c>
    </row>
    <row r="13" spans="1:20" x14ac:dyDescent="0.15">
      <c r="A13" s="4">
        <v>23559</v>
      </c>
      <c r="B13">
        <v>2.0500000000000001E-2</v>
      </c>
      <c r="C13">
        <v>3.0300000000000001E-2</v>
      </c>
      <c r="D13">
        <v>3.3799999999999997E-2</v>
      </c>
      <c r="E13">
        <v>-1.8800000000000001E-2</v>
      </c>
      <c r="F13">
        <v>5.04E-2</v>
      </c>
      <c r="G13">
        <v>1.9699999999999999E-2</v>
      </c>
      <c r="H13">
        <v>3.3000000000000002E-2</v>
      </c>
      <c r="J13" s="13" t="s">
        <v>6</v>
      </c>
      <c r="K13" s="14">
        <f>P8</f>
        <v>1.9962738789541766E-3</v>
      </c>
      <c r="L13" s="14">
        <f>P9</f>
        <v>2.0509512991113733E-3</v>
      </c>
      <c r="M13" s="14">
        <f>P10</f>
        <v>1.2972225491048282E-3</v>
      </c>
      <c r="N13" s="14">
        <f>P11</f>
        <v>2.4502280829872911E-3</v>
      </c>
      <c r="O13" s="14">
        <f>P12</f>
        <v>1.2153605520267695E-3</v>
      </c>
      <c r="P13" s="14">
        <f>VARP($G$2:$G$438)</f>
        <v>3.0516192764270646E-3</v>
      </c>
      <c r="Q13" s="14">
        <f>_xlfn.COVARIANCE.P(G2:G438, H2:H438)</f>
        <v>2.0741196438165362E-3</v>
      </c>
    </row>
    <row r="14" spans="1:20" x14ac:dyDescent="0.15">
      <c r="A14" s="4">
        <v>23590</v>
      </c>
      <c r="B14">
        <v>-1.21E-2</v>
      </c>
      <c r="C14">
        <v>-2.5700000000000001E-2</v>
      </c>
      <c r="D14">
        <v>-1.8599999999999998E-2</v>
      </c>
      <c r="E14">
        <v>-1.8800000000000001E-2</v>
      </c>
      <c r="F14">
        <v>5.0000000000000001E-4</v>
      </c>
      <c r="G14">
        <v>-7.7000000000000002E-3</v>
      </c>
      <c r="H14">
        <v>-2.3300000000000001E-2</v>
      </c>
      <c r="J14" s="13" t="s">
        <v>7</v>
      </c>
      <c r="K14" s="14">
        <f>Q8</f>
        <v>1.6713125261168032E-3</v>
      </c>
      <c r="L14" s="14">
        <f>Q9</f>
        <v>1.6958168033031551E-3</v>
      </c>
      <c r="M14" s="14">
        <f>Q10</f>
        <v>1.3327195204457269E-3</v>
      </c>
      <c r="N14" s="14">
        <f>Q11</f>
        <v>1.7767025768580249E-3</v>
      </c>
      <c r="O14" s="14">
        <f>Q12</f>
        <v>1.2741784369714449E-3</v>
      </c>
      <c r="P14" s="14">
        <f>Q13</f>
        <v>2.0741196438165362E-3</v>
      </c>
      <c r="Q14" s="14">
        <f>VARP($H$2:$H$438)</f>
        <v>2.1929309959208025E-3</v>
      </c>
    </row>
    <row r="15" spans="1:20" x14ac:dyDescent="0.15">
      <c r="A15" s="4">
        <v>23621</v>
      </c>
      <c r="B15">
        <v>2.2800000000000001E-2</v>
      </c>
      <c r="C15">
        <v>4.2500000000000003E-2</v>
      </c>
      <c r="D15">
        <v>3.0700000000000002E-2</v>
      </c>
      <c r="E15">
        <v>8.0600000000000005E-2</v>
      </c>
      <c r="F15">
        <v>1.9699999999999999E-2</v>
      </c>
      <c r="G15">
        <v>2.01E-2</v>
      </c>
      <c r="H15">
        <v>1.8599999999999998E-2</v>
      </c>
    </row>
    <row r="16" spans="1:20" x14ac:dyDescent="0.15">
      <c r="A16" s="4">
        <v>23651</v>
      </c>
      <c r="B16">
        <v>-6.4000000000000003E-3</v>
      </c>
      <c r="C16">
        <v>1.61E-2</v>
      </c>
      <c r="D16">
        <v>3.5200000000000002E-2</v>
      </c>
      <c r="E16">
        <v>2.8999999999999998E-3</v>
      </c>
      <c r="F16">
        <v>1.0800000000000001E-2</v>
      </c>
      <c r="G16">
        <v>3.9300000000000002E-2</v>
      </c>
      <c r="H16">
        <v>1.9599999999999999E-2</v>
      </c>
      <c r="J16" s="42" t="s">
        <v>12</v>
      </c>
      <c r="K16" s="42"/>
      <c r="L16" s="42"/>
      <c r="M16" s="42"/>
      <c r="N16" s="42"/>
      <c r="O16" s="42"/>
      <c r="P16" s="42"/>
      <c r="Q16" s="42"/>
      <c r="S16" s="6"/>
      <c r="T16" s="6"/>
    </row>
    <row r="17" spans="1:20" x14ac:dyDescent="0.15">
      <c r="A17" s="4">
        <v>23682</v>
      </c>
      <c r="B17">
        <v>1.4E-2</v>
      </c>
      <c r="C17">
        <v>1.46E-2</v>
      </c>
      <c r="D17">
        <v>2.7300000000000001E-2</v>
      </c>
      <c r="E17">
        <v>2.8999999999999998E-3</v>
      </c>
      <c r="F17">
        <v>1.43E-2</v>
      </c>
      <c r="G17">
        <v>1.2699999999999999E-2</v>
      </c>
      <c r="H17">
        <v>-3.3700000000000001E-2</v>
      </c>
      <c r="J17" s="12"/>
      <c r="K17" s="12" t="s">
        <v>1</v>
      </c>
      <c r="L17" s="12" t="s">
        <v>2</v>
      </c>
      <c r="M17" s="12" t="s">
        <v>3</v>
      </c>
      <c r="N17" s="12" t="s">
        <v>4</v>
      </c>
      <c r="O17" s="12" t="s">
        <v>5</v>
      </c>
      <c r="P17" s="12" t="s">
        <v>6</v>
      </c>
      <c r="Q17" s="12" t="s">
        <v>7</v>
      </c>
      <c r="T17" s="2"/>
    </row>
    <row r="18" spans="1:20" x14ac:dyDescent="0.15">
      <c r="A18" s="4">
        <v>23712</v>
      </c>
      <c r="B18">
        <v>1.11E-2</v>
      </c>
      <c r="C18">
        <v>1.7600000000000001E-2</v>
      </c>
      <c r="D18">
        <v>-4.0000000000000002E-4</v>
      </c>
      <c r="E18">
        <v>1.8100000000000002E-2</v>
      </c>
      <c r="F18">
        <v>5.7999999999999996E-3</v>
      </c>
      <c r="G18">
        <v>1.5900000000000001E-2</v>
      </c>
      <c r="H18">
        <v>-4.1000000000000003E-3</v>
      </c>
      <c r="J18" s="13" t="s">
        <v>1</v>
      </c>
      <c r="K18" s="14" cm="1">
        <f t="array" ref="K18:Q24">MINVERSE(K8:Q14)</f>
        <v>2274.1838974987063</v>
      </c>
      <c r="L18" s="14">
        <v>-1021.7911459467764</v>
      </c>
      <c r="M18" s="14">
        <v>188.80565991857355</v>
      </c>
      <c r="N18" s="14">
        <v>-11.647587292109577</v>
      </c>
      <c r="O18" s="14">
        <v>-638.60479749541457</v>
      </c>
      <c r="P18" s="14">
        <v>-440.08520631265736</v>
      </c>
      <c r="Q18" s="14">
        <v>-261.08723757909354</v>
      </c>
      <c r="T18" s="2"/>
    </row>
    <row r="19" spans="1:20" x14ac:dyDescent="0.15">
      <c r="A19" s="4">
        <v>23743</v>
      </c>
      <c r="B19">
        <v>5.7799999999999997E-2</v>
      </c>
      <c r="C19">
        <v>6.2E-2</v>
      </c>
      <c r="D19">
        <v>5.9999999999999995E-4</v>
      </c>
      <c r="E19">
        <v>9.64E-2</v>
      </c>
      <c r="F19">
        <v>4.0599999999999997E-2</v>
      </c>
      <c r="G19">
        <v>5.96E-2</v>
      </c>
      <c r="H19">
        <v>4.4400000000000002E-2</v>
      </c>
      <c r="J19" s="13" t="s">
        <v>2</v>
      </c>
      <c r="K19" s="14">
        <v>-1021.7911459467759</v>
      </c>
      <c r="L19" s="14">
        <v>2526.4531744567848</v>
      </c>
      <c r="M19" s="14">
        <v>-308.5490814059429</v>
      </c>
      <c r="N19" s="14">
        <v>-865.76237619325298</v>
      </c>
      <c r="O19" s="14">
        <v>130.97578873321226</v>
      </c>
      <c r="P19" s="14">
        <v>-26.012164595308761</v>
      </c>
      <c r="Q19" s="14">
        <v>-337.53545449103871</v>
      </c>
      <c r="T19" s="2"/>
    </row>
    <row r="20" spans="1:20" x14ac:dyDescent="0.15">
      <c r="A20" s="4">
        <v>23774</v>
      </c>
      <c r="B20">
        <v>1.61E-2</v>
      </c>
      <c r="C20">
        <v>1.78E-2</v>
      </c>
      <c r="D20">
        <v>-3.4200000000000001E-2</v>
      </c>
      <c r="E20">
        <v>4.5900000000000003E-2</v>
      </c>
      <c r="F20">
        <v>5.8999999999999999E-3</v>
      </c>
      <c r="G20">
        <v>1.9E-2</v>
      </c>
      <c r="H20">
        <v>-3.0999999999999999E-3</v>
      </c>
      <c r="J20" s="13" t="s">
        <v>3</v>
      </c>
      <c r="K20" s="14">
        <v>188.80565991857361</v>
      </c>
      <c r="L20" s="14">
        <v>-308.5490814059429</v>
      </c>
      <c r="M20" s="14">
        <v>656.42675086214456</v>
      </c>
      <c r="N20" s="14">
        <v>72.242063298198289</v>
      </c>
      <c r="O20" s="14">
        <v>-301.60342495619614</v>
      </c>
      <c r="P20" s="14">
        <v>-15.737581693046822</v>
      </c>
      <c r="Q20" s="14">
        <v>-172.62638219827451</v>
      </c>
      <c r="T20" s="2"/>
    </row>
    <row r="21" spans="1:20" x14ac:dyDescent="0.15">
      <c r="A21" s="4">
        <v>23802</v>
      </c>
      <c r="B21">
        <v>-1.06E-2</v>
      </c>
      <c r="C21">
        <v>-2.0899999999999998E-2</v>
      </c>
      <c r="D21">
        <v>-3.27E-2</v>
      </c>
      <c r="E21">
        <v>-1.8100000000000002E-2</v>
      </c>
      <c r="F21">
        <v>-4.4000000000000003E-3</v>
      </c>
      <c r="G21">
        <v>-1.34E-2</v>
      </c>
      <c r="H21">
        <v>-3.1199999999999999E-2</v>
      </c>
      <c r="J21" s="13" t="s">
        <v>4</v>
      </c>
      <c r="K21" s="14">
        <v>-11.64758729210928</v>
      </c>
      <c r="L21" s="14">
        <v>-865.76237619325275</v>
      </c>
      <c r="M21" s="14">
        <v>72.24206329819836</v>
      </c>
      <c r="N21" s="14">
        <v>1383.8071024195874</v>
      </c>
      <c r="O21" s="14">
        <v>112.82116677460517</v>
      </c>
      <c r="P21" s="14">
        <v>-621.35020241019004</v>
      </c>
      <c r="Q21" s="14">
        <v>35.454582826931322</v>
      </c>
      <c r="T21" s="2"/>
    </row>
    <row r="22" spans="1:20" x14ac:dyDescent="0.15">
      <c r="A22" s="4">
        <v>23833</v>
      </c>
      <c r="B22">
        <v>3.2300000000000002E-2</v>
      </c>
      <c r="C22">
        <v>2.63E-2</v>
      </c>
      <c r="D22">
        <v>6.6E-3</v>
      </c>
      <c r="E22">
        <v>9.4600000000000004E-2</v>
      </c>
      <c r="F22">
        <v>7.9000000000000008E-3</v>
      </c>
      <c r="G22">
        <v>3.5400000000000001E-2</v>
      </c>
      <c r="H22">
        <v>1.66E-2</v>
      </c>
      <c r="J22" s="13" t="s">
        <v>5</v>
      </c>
      <c r="K22" s="14">
        <v>-638.6047974954148</v>
      </c>
      <c r="L22" s="14">
        <v>130.97578873321305</v>
      </c>
      <c r="M22" s="14">
        <v>-301.60342495619625</v>
      </c>
      <c r="N22" s="14">
        <v>112.82116677460482</v>
      </c>
      <c r="O22" s="14">
        <v>1591.9279766204986</v>
      </c>
      <c r="P22" s="14">
        <v>105.29657769527876</v>
      </c>
      <c r="Q22" s="14">
        <v>-547.25736259174528</v>
      </c>
      <c r="T22" s="2"/>
    </row>
    <row r="23" spans="1:20" x14ac:dyDescent="0.15">
      <c r="A23" s="4">
        <v>23863</v>
      </c>
      <c r="B23">
        <v>-4.4999999999999997E-3</v>
      </c>
      <c r="C23">
        <v>-4.3E-3</v>
      </c>
      <c r="D23">
        <v>1.2E-2</v>
      </c>
      <c r="E23">
        <v>1.26E-2</v>
      </c>
      <c r="F23">
        <v>-8.6999999999999994E-3</v>
      </c>
      <c r="G23">
        <v>-4.1999999999999997E-3</v>
      </c>
      <c r="H23">
        <v>-1.32E-2</v>
      </c>
      <c r="J23" s="13" t="s">
        <v>6</v>
      </c>
      <c r="K23" s="14">
        <v>-440.08520631265725</v>
      </c>
      <c r="L23" s="14">
        <v>-26.012164595309411</v>
      </c>
      <c r="M23" s="14">
        <v>-15.737581693046797</v>
      </c>
      <c r="N23" s="14">
        <v>-621.35020241018981</v>
      </c>
      <c r="O23" s="14">
        <v>105.2965776952786</v>
      </c>
      <c r="P23" s="14">
        <v>1534.3949604072347</v>
      </c>
      <c r="Q23" s="14">
        <v>-643.94424102094536</v>
      </c>
      <c r="T23" s="2"/>
    </row>
    <row r="24" spans="1:20" x14ac:dyDescent="0.15">
      <c r="A24" s="4">
        <v>23894</v>
      </c>
      <c r="B24">
        <v>-4.36E-2</v>
      </c>
      <c r="C24">
        <v>-5.6099999999999997E-2</v>
      </c>
      <c r="D24">
        <v>-1.3299999999999999E-2</v>
      </c>
      <c r="E24">
        <v>-4.1500000000000002E-2</v>
      </c>
      <c r="F24">
        <v>-3.6499999999999998E-2</v>
      </c>
      <c r="G24">
        <v>-6.0400000000000002E-2</v>
      </c>
      <c r="H24">
        <v>-5.62E-2</v>
      </c>
      <c r="J24" s="13" t="s">
        <v>7</v>
      </c>
      <c r="K24" s="14">
        <v>-261.08723757909354</v>
      </c>
      <c r="L24" s="14">
        <v>-337.53545449103888</v>
      </c>
      <c r="M24" s="14">
        <v>-172.62638219827454</v>
      </c>
      <c r="N24" s="14">
        <v>35.454582826931748</v>
      </c>
      <c r="O24" s="14">
        <v>-547.25736259174505</v>
      </c>
      <c r="P24" s="14">
        <v>-643.94424102094581</v>
      </c>
      <c r="Q24" s="14">
        <v>1919.2340776715944</v>
      </c>
      <c r="T24" s="2"/>
    </row>
    <row r="25" spans="1:20" x14ac:dyDescent="0.15">
      <c r="A25" s="4">
        <v>23924</v>
      </c>
      <c r="B25">
        <v>1.06E-2</v>
      </c>
      <c r="C25">
        <v>1.3599999999999999E-2</v>
      </c>
      <c r="D25">
        <v>1.84E-2</v>
      </c>
      <c r="E25">
        <v>7.5800000000000006E-2</v>
      </c>
      <c r="F25">
        <v>1.1599999999999999E-2</v>
      </c>
      <c r="G25">
        <v>-1.1000000000000001E-3</v>
      </c>
      <c r="H25">
        <v>8.5000000000000006E-3</v>
      </c>
    </row>
    <row r="26" spans="1:20" x14ac:dyDescent="0.15">
      <c r="A26" s="4">
        <v>23955</v>
      </c>
      <c r="B26">
        <v>2.2700000000000001E-2</v>
      </c>
      <c r="C26">
        <v>3.2199999999999999E-2</v>
      </c>
      <c r="D26">
        <v>1.5900000000000001E-2</v>
      </c>
      <c r="E26">
        <v>0.1074</v>
      </c>
      <c r="F26">
        <v>9.9000000000000008E-3</v>
      </c>
      <c r="G26">
        <v>3.0499999999999999E-2</v>
      </c>
      <c r="H26">
        <v>0.04</v>
      </c>
      <c r="K26" s="16" t="s">
        <v>9</v>
      </c>
      <c r="L26" s="17" t="s">
        <v>24</v>
      </c>
    </row>
    <row r="27" spans="1:20" x14ac:dyDescent="0.15">
      <c r="A27" s="4">
        <v>23986</v>
      </c>
      <c r="B27">
        <v>3.5000000000000001E-3</v>
      </c>
      <c r="C27">
        <v>3.09E-2</v>
      </c>
      <c r="D27">
        <v>4.4400000000000002E-2</v>
      </c>
      <c r="E27">
        <v>4.5900000000000003E-2</v>
      </c>
      <c r="F27">
        <v>1.5699999999999999E-2</v>
      </c>
      <c r="G27">
        <v>2.07E-2</v>
      </c>
      <c r="H27">
        <v>2.92E-2</v>
      </c>
      <c r="K27" s="18">
        <v>1</v>
      </c>
      <c r="L27" s="19">
        <f>K2-K4</f>
        <v>9.8909839816933541E-3</v>
      </c>
    </row>
    <row r="28" spans="1:20" x14ac:dyDescent="0.15">
      <c r="A28" s="4">
        <v>24016</v>
      </c>
      <c r="B28">
        <v>1.24E-2</v>
      </c>
      <c r="C28">
        <v>3.39E-2</v>
      </c>
      <c r="D28">
        <v>1.84E-2</v>
      </c>
      <c r="E28">
        <v>6.8400000000000002E-2</v>
      </c>
      <c r="F28">
        <v>1.17E-2</v>
      </c>
      <c r="G28">
        <v>7.7999999999999996E-3</v>
      </c>
      <c r="H28">
        <v>3.4700000000000002E-2</v>
      </c>
      <c r="K28" s="18">
        <v>1</v>
      </c>
      <c r="L28" s="19">
        <f>L2-K4</f>
        <v>1.0069244851258586E-2</v>
      </c>
    </row>
    <row r="29" spans="1:20" x14ac:dyDescent="0.15">
      <c r="A29" s="4">
        <v>24047</v>
      </c>
      <c r="B29">
        <v>5.7000000000000002E-3</v>
      </c>
      <c r="C29">
        <v>3.7000000000000002E-3</v>
      </c>
      <c r="D29">
        <v>4.1999999999999997E-3</v>
      </c>
      <c r="E29">
        <v>4.4499999999999998E-2</v>
      </c>
      <c r="F29">
        <v>-8.8000000000000005E-3</v>
      </c>
      <c r="G29">
        <v>5.4999999999999997E-3</v>
      </c>
      <c r="H29">
        <v>5.7000000000000002E-3</v>
      </c>
      <c r="K29" s="18">
        <v>1</v>
      </c>
      <c r="L29" s="19">
        <f>M2-K4</f>
        <v>8.335606407322671E-3</v>
      </c>
    </row>
    <row r="30" spans="1:20" x14ac:dyDescent="0.15">
      <c r="A30" s="4">
        <v>24077</v>
      </c>
      <c r="B30">
        <v>1.6500000000000001E-2</v>
      </c>
      <c r="C30">
        <v>3.3500000000000002E-2</v>
      </c>
      <c r="D30">
        <v>1.9E-3</v>
      </c>
      <c r="E30">
        <v>6.7400000000000002E-2</v>
      </c>
      <c r="F30">
        <v>-1.1999999999999999E-3</v>
      </c>
      <c r="G30">
        <v>2.0400000000000001E-2</v>
      </c>
      <c r="H30">
        <v>1.84E-2</v>
      </c>
      <c r="K30" s="18">
        <v>1</v>
      </c>
      <c r="L30" s="19">
        <f>N2-K4</f>
        <v>1.192164759725399E-2</v>
      </c>
    </row>
    <row r="31" spans="1:20" x14ac:dyDescent="0.15">
      <c r="A31" s="4">
        <v>24108</v>
      </c>
      <c r="B31">
        <v>6.7999999999999996E-3</v>
      </c>
      <c r="C31">
        <v>1.23E-2</v>
      </c>
      <c r="D31">
        <v>7.4999999999999997E-3</v>
      </c>
      <c r="E31">
        <v>4.7300000000000002E-2</v>
      </c>
      <c r="F31">
        <v>-2.86E-2</v>
      </c>
      <c r="G31">
        <v>2.3699999999999999E-2</v>
      </c>
      <c r="H31">
        <v>2.4400000000000002E-2</v>
      </c>
      <c r="K31" s="18">
        <v>1</v>
      </c>
      <c r="L31" s="19">
        <f>O2-K4</f>
        <v>5.1118077803203677E-3</v>
      </c>
    </row>
    <row r="32" spans="1:20" x14ac:dyDescent="0.15">
      <c r="A32" s="4">
        <v>24139</v>
      </c>
      <c r="B32">
        <v>-8.5000000000000006E-3</v>
      </c>
      <c r="C32">
        <v>-1.5800000000000002E-2</v>
      </c>
      <c r="D32">
        <v>-3.5299999999999998E-2</v>
      </c>
      <c r="E32">
        <v>2.4899999999999999E-2</v>
      </c>
      <c r="F32">
        <v>-0.04</v>
      </c>
      <c r="G32">
        <v>-2.0999999999999999E-3</v>
      </c>
      <c r="H32">
        <v>-1.5100000000000001E-2</v>
      </c>
      <c r="K32" s="18">
        <v>1</v>
      </c>
      <c r="L32" s="19">
        <f>P2-K4</f>
        <v>1.3851853546910736E-2</v>
      </c>
    </row>
    <row r="33" spans="1:23" x14ac:dyDescent="0.15">
      <c r="A33" s="4">
        <v>24167</v>
      </c>
      <c r="B33">
        <v>-2.1499999999999998E-2</v>
      </c>
      <c r="C33">
        <v>-2.4799999999999999E-2</v>
      </c>
      <c r="D33">
        <v>-2.1100000000000001E-2</v>
      </c>
      <c r="E33">
        <v>3.0599999999999999E-2</v>
      </c>
      <c r="F33">
        <v>0</v>
      </c>
      <c r="G33">
        <v>-2.6100000000000002E-2</v>
      </c>
      <c r="H33">
        <v>-3.2199999999999999E-2</v>
      </c>
      <c r="K33" s="18">
        <v>1</v>
      </c>
      <c r="L33" s="19">
        <f>Q2-K4</f>
        <v>1.0310434782608686E-2</v>
      </c>
    </row>
    <row r="34" spans="1:23" x14ac:dyDescent="0.15">
      <c r="A34" s="4">
        <v>24198</v>
      </c>
      <c r="B34">
        <v>-3.8999999999999998E-3</v>
      </c>
      <c r="C34">
        <v>1.6000000000000001E-3</v>
      </c>
      <c r="D34">
        <v>3.5400000000000001E-2</v>
      </c>
      <c r="E34">
        <v>7.3599999999999999E-2</v>
      </c>
      <c r="F34">
        <v>1.38E-2</v>
      </c>
      <c r="G34">
        <v>3.1699999999999999E-2</v>
      </c>
      <c r="H34">
        <v>1.03E-2</v>
      </c>
    </row>
    <row r="35" spans="1:23" x14ac:dyDescent="0.15">
      <c r="A35" s="4">
        <v>24228</v>
      </c>
      <c r="B35">
        <v>-3.7900000000000003E-2</v>
      </c>
      <c r="C35">
        <v>-4.2700000000000002E-2</v>
      </c>
      <c r="D35">
        <v>-3.8199999999999998E-2</v>
      </c>
      <c r="E35">
        <v>-5.9299999999999999E-2</v>
      </c>
      <c r="F35">
        <v>-2.6100000000000002E-2</v>
      </c>
      <c r="G35">
        <v>-4.3400000000000001E-2</v>
      </c>
      <c r="H35">
        <v>-2.29E-2</v>
      </c>
      <c r="K35" s="35" t="s">
        <v>19</v>
      </c>
      <c r="L35" s="36"/>
    </row>
    <row r="36" spans="1:23" x14ac:dyDescent="0.15">
      <c r="A36" s="4">
        <v>24259</v>
      </c>
      <c r="B36">
        <v>-2.2200000000000001E-2</v>
      </c>
      <c r="C36">
        <v>-1.6299999999999999E-2</v>
      </c>
      <c r="D36">
        <v>-2.0199999999999999E-2</v>
      </c>
      <c r="E36">
        <v>1.2200000000000001E-2</v>
      </c>
      <c r="F36">
        <v>-1.61E-2</v>
      </c>
      <c r="G36">
        <v>-3.0000000000000001E-3</v>
      </c>
      <c r="H36">
        <v>-1.0500000000000001E-2</v>
      </c>
      <c r="K36" s="15" cm="1">
        <f t="array" ref="K36:K42">MMULT(K18:Q24, K27:K33)</f>
        <v>89.773582791228421</v>
      </c>
      <c r="L36" s="15" cm="1">
        <f t="array" ref="L36:L42">MMULT(K18:Q24,L27:L33)</f>
        <v>1.5878587696771356</v>
      </c>
    </row>
    <row r="37" spans="1:23" x14ac:dyDescent="0.15">
      <c r="A37" s="4">
        <v>24289</v>
      </c>
      <c r="B37">
        <v>-7.1000000000000004E-3</v>
      </c>
      <c r="C37">
        <v>-0.01</v>
      </c>
      <c r="D37">
        <v>9.5999999999999992E-3</v>
      </c>
      <c r="E37">
        <v>-4.0000000000000002E-4</v>
      </c>
      <c r="F37">
        <v>-1E-3</v>
      </c>
      <c r="G37">
        <v>-1E-4</v>
      </c>
      <c r="H37">
        <v>-3.4700000000000002E-2</v>
      </c>
      <c r="K37" s="15">
        <v>97.77874055767785</v>
      </c>
      <c r="L37" s="15">
        <v>-0.73123281910922655</v>
      </c>
    </row>
    <row r="38" spans="1:23" x14ac:dyDescent="0.15">
      <c r="A38" s="4">
        <v>24320</v>
      </c>
      <c r="B38">
        <v>-5.9299999999999999E-2</v>
      </c>
      <c r="C38">
        <v>-7.2400000000000006E-2</v>
      </c>
      <c r="D38">
        <v>-6.3299999999999995E-2</v>
      </c>
      <c r="E38">
        <v>-0.10009999999999999</v>
      </c>
      <c r="F38">
        <v>-8.4500000000000006E-2</v>
      </c>
      <c r="G38">
        <v>-8.0199999999999994E-2</v>
      </c>
      <c r="H38">
        <v>-8.4500000000000006E-2</v>
      </c>
      <c r="K38" s="15">
        <v>118.95800382545607</v>
      </c>
      <c r="L38" s="15">
        <v>1.5539904928944563</v>
      </c>
    </row>
    <row r="39" spans="1:23" x14ac:dyDescent="0.15">
      <c r="A39" s="4">
        <v>24351</v>
      </c>
      <c r="B39">
        <v>-9.4000000000000004E-3</v>
      </c>
      <c r="C39">
        <v>-3.2300000000000002E-2</v>
      </c>
      <c r="D39">
        <v>4.2200000000000001E-2</v>
      </c>
      <c r="E39">
        <v>-4.9200000000000001E-2</v>
      </c>
      <c r="F39">
        <v>4.5999999999999999E-2</v>
      </c>
      <c r="G39">
        <v>-2.3199999999999998E-2</v>
      </c>
      <c r="H39">
        <v>2.5700000000000001E-2</v>
      </c>
      <c r="K39" s="15">
        <v>105.56474942377022</v>
      </c>
      <c r="L39" s="15">
        <v>0.60208285205684009</v>
      </c>
    </row>
    <row r="40" spans="1:23" x14ac:dyDescent="0.15">
      <c r="A40" s="4">
        <v>24381</v>
      </c>
      <c r="B40">
        <v>8.2500000000000004E-2</v>
      </c>
      <c r="C40">
        <v>3.1399999999999997E-2</v>
      </c>
      <c r="D40">
        <v>9.2200000000000004E-2</v>
      </c>
      <c r="E40">
        <v>1.38E-2</v>
      </c>
      <c r="F40">
        <v>0.10150000000000001</v>
      </c>
      <c r="G40">
        <v>-1.1900000000000001E-2</v>
      </c>
      <c r="H40">
        <v>9.5899999999999999E-2</v>
      </c>
      <c r="K40" s="15">
        <v>453.55592478023891</v>
      </c>
      <c r="L40" s="15">
        <v>-2.212914542536101</v>
      </c>
    </row>
    <row r="41" spans="1:23" x14ac:dyDescent="0.15">
      <c r="A41" s="4">
        <v>24412</v>
      </c>
      <c r="B41">
        <v>3.3000000000000002E-2</v>
      </c>
      <c r="C41">
        <v>2.98E-2</v>
      </c>
      <c r="D41">
        <v>-1.4800000000000001E-2</v>
      </c>
      <c r="E41">
        <v>0.12</v>
      </c>
      <c r="F41">
        <v>-1.17E-2</v>
      </c>
      <c r="G41">
        <v>1.54E-2</v>
      </c>
      <c r="H41">
        <v>5.0000000000000001E-3</v>
      </c>
      <c r="K41" s="15">
        <v>-107.43785792963524</v>
      </c>
      <c r="L41" s="15">
        <v>2.9996260240466768</v>
      </c>
    </row>
    <row r="42" spans="1:23" ht="14" thickBot="1" x14ac:dyDescent="0.2">
      <c r="A42" s="4">
        <v>24442</v>
      </c>
      <c r="B42">
        <v>1.1999999999999999E-3</v>
      </c>
      <c r="C42">
        <v>7.4999999999999997E-3</v>
      </c>
      <c r="D42">
        <v>-9.1999999999999998E-3</v>
      </c>
      <c r="E42">
        <v>2.3599999999999999E-2</v>
      </c>
      <c r="F42">
        <v>2.2599999999999999E-2</v>
      </c>
      <c r="G42">
        <v>2.5600000000000001E-2</v>
      </c>
      <c r="H42">
        <v>2.24E-2</v>
      </c>
      <c r="K42" s="21">
        <v>-7.7620173825716847</v>
      </c>
      <c r="L42" s="21">
        <v>1.0734366701352513</v>
      </c>
    </row>
    <row r="43" spans="1:23" x14ac:dyDescent="0.15">
      <c r="A43" s="4">
        <v>24473</v>
      </c>
      <c r="B43">
        <v>7.3200000000000001E-2</v>
      </c>
      <c r="C43">
        <v>9.4600000000000004E-2</v>
      </c>
      <c r="D43">
        <v>3.5099999999999999E-2</v>
      </c>
      <c r="E43">
        <v>0.1116</v>
      </c>
      <c r="F43">
        <v>3.09E-2</v>
      </c>
      <c r="G43">
        <v>0.14979999999999999</v>
      </c>
      <c r="H43">
        <v>9.3799999999999994E-2</v>
      </c>
      <c r="K43" s="20">
        <f>SUM(_xlfn.ANCHORARRAY(K36))</f>
        <v>750.43112606616455</v>
      </c>
      <c r="L43" s="20">
        <f>SUM(_xlfn.ANCHORARRAY(L36))</f>
        <v>4.8728474471650323</v>
      </c>
    </row>
    <row r="44" spans="1:23" x14ac:dyDescent="0.15">
      <c r="A44" s="4">
        <v>24504</v>
      </c>
      <c r="B44">
        <v>2.2100000000000002E-2</v>
      </c>
      <c r="C44">
        <v>6.0000000000000001E-3</v>
      </c>
      <c r="D44">
        <v>-3.0000000000000001E-3</v>
      </c>
      <c r="E44">
        <v>7.51E-2</v>
      </c>
      <c r="F44">
        <v>-1.61E-2</v>
      </c>
      <c r="G44">
        <v>5.3999999999999999E-2</v>
      </c>
      <c r="H44">
        <v>-1.4E-3</v>
      </c>
    </row>
    <row r="45" spans="1:23" x14ac:dyDescent="0.15">
      <c r="A45" s="4">
        <v>24532</v>
      </c>
      <c r="B45">
        <v>4.7100000000000003E-2</v>
      </c>
      <c r="C45">
        <v>6.6299999999999998E-2</v>
      </c>
      <c r="D45">
        <v>3.27E-2</v>
      </c>
      <c r="E45">
        <v>5.2600000000000001E-2</v>
      </c>
      <c r="F45">
        <v>1.66E-2</v>
      </c>
      <c r="G45">
        <v>3.3500000000000002E-2</v>
      </c>
      <c r="H45">
        <v>2.4299999999999999E-2</v>
      </c>
      <c r="J45" s="24"/>
      <c r="K45" s="37" t="s">
        <v>20</v>
      </c>
      <c r="L45" s="38"/>
      <c r="M45" s="39" t="s">
        <v>23</v>
      </c>
      <c r="N45" s="40"/>
    </row>
    <row r="46" spans="1:23" x14ac:dyDescent="0.15">
      <c r="A46" s="4">
        <v>24563</v>
      </c>
      <c r="B46">
        <v>4.5400000000000003E-2</v>
      </c>
      <c r="C46">
        <v>5.4300000000000001E-2</v>
      </c>
      <c r="D46">
        <v>1.7000000000000001E-2</v>
      </c>
      <c r="E46">
        <v>3.9399999999999998E-2</v>
      </c>
      <c r="F46">
        <v>1.9599999999999999E-2</v>
      </c>
      <c r="G46">
        <v>2.0799999999999999E-2</v>
      </c>
      <c r="H46">
        <v>1.7100000000000001E-2</v>
      </c>
      <c r="J46" s="22" t="s">
        <v>1</v>
      </c>
      <c r="K46" s="24">
        <f>K36/$K$43</f>
        <v>0.11962934328408067</v>
      </c>
      <c r="L46" s="28">
        <f>K46</f>
        <v>0.11962934328408067</v>
      </c>
      <c r="M46" s="31">
        <f>L36/$L$43</f>
        <v>0.32585850201424504</v>
      </c>
      <c r="N46" s="32">
        <f>$M46</f>
        <v>0.32585850201424504</v>
      </c>
      <c r="P46" s="2">
        <f>L46</f>
        <v>0.11962934328408067</v>
      </c>
      <c r="Q46" s="2">
        <f>L47</f>
        <v>0.13029675497369606</v>
      </c>
      <c r="R46" s="2">
        <f>L48</f>
        <v>0.15851954922105363</v>
      </c>
      <c r="S46" s="2">
        <f>L49</f>
        <v>0.14067213599887743</v>
      </c>
      <c r="T46" s="2">
        <f>L50</f>
        <v>0.60439380647471896</v>
      </c>
      <c r="U46" s="2">
        <f>L51</f>
        <v>-0.14316817919431901</v>
      </c>
      <c r="V46" s="2">
        <f>L52</f>
        <v>-1.0343410758107756E-2</v>
      </c>
      <c r="W46" s="2"/>
    </row>
    <row r="47" spans="1:23" x14ac:dyDescent="0.15">
      <c r="A47" s="4">
        <v>24593</v>
      </c>
      <c r="B47">
        <v>-1.9300000000000001E-2</v>
      </c>
      <c r="C47">
        <v>-4.8099999999999997E-2</v>
      </c>
      <c r="D47">
        <v>-2.4500000000000001E-2</v>
      </c>
      <c r="E47">
        <v>-5.0900000000000001E-2</v>
      </c>
      <c r="F47">
        <v>-3.9199999999999999E-2</v>
      </c>
      <c r="G47">
        <v>1.0800000000000001E-2</v>
      </c>
      <c r="H47">
        <v>-8.0999999999999996E-3</v>
      </c>
      <c r="J47" s="22" t="s">
        <v>2</v>
      </c>
      <c r="K47" s="24">
        <f t="shared" ref="K47:K51" si="2">K37/$K$43</f>
        <v>0.13029675497369606</v>
      </c>
      <c r="L47" s="28">
        <f>K47</f>
        <v>0.13029675497369606</v>
      </c>
      <c r="M47" s="31">
        <f t="shared" ref="M47:M52" si="3">L37/$L$43</f>
        <v>-0.15006273581058843</v>
      </c>
      <c r="N47" s="32">
        <f t="shared" ref="N47:N52" si="4">$M47</f>
        <v>-0.15006273581058843</v>
      </c>
      <c r="P47" s="2">
        <f>N46</f>
        <v>0.32585850201424504</v>
      </c>
      <c r="Q47" s="2">
        <f>N47</f>
        <v>-0.15006273581058843</v>
      </c>
      <c r="R47" s="2">
        <f>N48</f>
        <v>0.31890809423934469</v>
      </c>
      <c r="S47" s="2">
        <f>N49</f>
        <v>0.12355873205247275</v>
      </c>
      <c r="T47" s="2">
        <f>N50</f>
        <v>-0.45413170975084594</v>
      </c>
      <c r="U47" s="2">
        <f>N51</f>
        <v>0.61557971115878574</v>
      </c>
      <c r="V47" s="2">
        <f>N52</f>
        <v>0.22028940609658623</v>
      </c>
      <c r="W47" s="2"/>
    </row>
    <row r="48" spans="1:23" x14ac:dyDescent="0.15">
      <c r="A48" s="4">
        <v>24624</v>
      </c>
      <c r="B48">
        <v>4.07E-2</v>
      </c>
      <c r="C48">
        <v>2.9100000000000001E-2</v>
      </c>
      <c r="D48">
        <v>2.12E-2</v>
      </c>
      <c r="E48">
        <v>1.49E-2</v>
      </c>
      <c r="F48">
        <v>-1.1299999999999999E-2</v>
      </c>
      <c r="G48">
        <v>5.91E-2</v>
      </c>
      <c r="H48">
        <v>0.04</v>
      </c>
      <c r="J48" s="22" t="s">
        <v>3</v>
      </c>
      <c r="K48" s="24">
        <f t="shared" si="2"/>
        <v>0.15851954922105363</v>
      </c>
      <c r="L48" s="28">
        <f t="shared" ref="L48:L52" si="5">K48</f>
        <v>0.15851954922105363</v>
      </c>
      <c r="M48" s="31">
        <f t="shared" si="3"/>
        <v>0.31890809423934469</v>
      </c>
      <c r="N48" s="32">
        <f t="shared" si="4"/>
        <v>0.31890809423934469</v>
      </c>
    </row>
    <row r="49" spans="1:19" x14ac:dyDescent="0.15">
      <c r="A49" s="4">
        <v>24654</v>
      </c>
      <c r="B49">
        <v>5.7200000000000001E-2</v>
      </c>
      <c r="C49">
        <v>5.0700000000000002E-2</v>
      </c>
      <c r="D49">
        <v>7.17E-2</v>
      </c>
      <c r="E49">
        <v>7.0000000000000001E-3</v>
      </c>
      <c r="F49">
        <v>2.4500000000000001E-2</v>
      </c>
      <c r="G49">
        <v>6.1400000000000003E-2</v>
      </c>
      <c r="H49">
        <v>5.8999999999999997E-2</v>
      </c>
      <c r="J49" s="22" t="s">
        <v>4</v>
      </c>
      <c r="K49" s="24">
        <f t="shared" si="2"/>
        <v>0.14067213599887743</v>
      </c>
      <c r="L49" s="28">
        <f t="shared" si="5"/>
        <v>0.14067213599887743</v>
      </c>
      <c r="M49" s="31">
        <f t="shared" si="3"/>
        <v>0.12355873205247275</v>
      </c>
      <c r="N49" s="32">
        <f t="shared" si="4"/>
        <v>0.12355873205247275</v>
      </c>
    </row>
    <row r="50" spans="1:19" x14ac:dyDescent="0.15">
      <c r="A50" s="4">
        <v>24685</v>
      </c>
      <c r="B50">
        <v>-1.06E-2</v>
      </c>
      <c r="C50">
        <v>4.3E-3</v>
      </c>
      <c r="D50">
        <v>-1.24E-2</v>
      </c>
      <c r="E50">
        <v>-8.0999999999999996E-3</v>
      </c>
      <c r="F50">
        <v>-4.8999999999999998E-3</v>
      </c>
      <c r="G50">
        <v>1.6000000000000001E-3</v>
      </c>
      <c r="H50">
        <v>2.4E-2</v>
      </c>
      <c r="J50" s="22" t="s">
        <v>5</v>
      </c>
      <c r="K50" s="24">
        <f t="shared" si="2"/>
        <v>0.60439380647471896</v>
      </c>
      <c r="L50" s="28">
        <f t="shared" si="5"/>
        <v>0.60439380647471896</v>
      </c>
      <c r="M50" s="31">
        <f t="shared" si="3"/>
        <v>-0.45413170975084594</v>
      </c>
      <c r="N50" s="32">
        <f t="shared" si="4"/>
        <v>-0.45413170975084594</v>
      </c>
    </row>
    <row r="51" spans="1:19" x14ac:dyDescent="0.15">
      <c r="A51" s="4">
        <v>24716</v>
      </c>
      <c r="B51">
        <v>2.63E-2</v>
      </c>
      <c r="C51">
        <v>4.1000000000000002E-2</v>
      </c>
      <c r="D51">
        <v>3.8199999999999998E-2</v>
      </c>
      <c r="E51">
        <v>5.0500000000000003E-2</v>
      </c>
      <c r="F51">
        <v>1.1000000000000001E-3</v>
      </c>
      <c r="G51">
        <v>7.2900000000000006E-2</v>
      </c>
      <c r="H51">
        <v>6.3E-2</v>
      </c>
      <c r="J51" s="22" t="s">
        <v>6</v>
      </c>
      <c r="K51" s="24">
        <f t="shared" si="2"/>
        <v>-0.14316817919431901</v>
      </c>
      <c r="L51" s="28">
        <f t="shared" si="5"/>
        <v>-0.14316817919431901</v>
      </c>
      <c r="M51" s="31">
        <f t="shared" si="3"/>
        <v>0.61557971115878574</v>
      </c>
      <c r="N51" s="32">
        <f t="shared" si="4"/>
        <v>0.61557971115878574</v>
      </c>
    </row>
    <row r="52" spans="1:19" ht="14" thickBot="1" x14ac:dyDescent="0.2">
      <c r="A52" s="4">
        <v>24746</v>
      </c>
      <c r="B52">
        <v>-2.7799999999999998E-2</v>
      </c>
      <c r="C52">
        <v>-4.3999999999999997E-2</v>
      </c>
      <c r="D52">
        <v>-4.5999999999999999E-3</v>
      </c>
      <c r="E52">
        <v>2.41E-2</v>
      </c>
      <c r="F52">
        <v>-5.3100000000000001E-2</v>
      </c>
      <c r="G52">
        <v>-1E-4</v>
      </c>
      <c r="H52">
        <v>-1.1299999999999999E-2</v>
      </c>
      <c r="J52" s="23" t="s">
        <v>7</v>
      </c>
      <c r="K52" s="27">
        <f>K42/$K$43</f>
        <v>-1.0343410758107756E-2</v>
      </c>
      <c r="L52" s="30">
        <f t="shared" si="5"/>
        <v>-1.0343410758107756E-2</v>
      </c>
      <c r="M52" s="33">
        <f t="shared" si="3"/>
        <v>0.22028940609658623</v>
      </c>
      <c r="N52" s="34">
        <f t="shared" si="4"/>
        <v>0.22028940609658623</v>
      </c>
    </row>
    <row r="53" spans="1:19" x14ac:dyDescent="0.15">
      <c r="A53" s="4">
        <v>24777</v>
      </c>
      <c r="B53">
        <v>1.2800000000000001E-2</v>
      </c>
      <c r="C53">
        <v>-5.7999999999999996E-3</v>
      </c>
      <c r="D53">
        <v>7.4000000000000003E-3</v>
      </c>
      <c r="E53">
        <v>4.3400000000000001E-2</v>
      </c>
      <c r="F53">
        <v>3.5799999999999998E-2</v>
      </c>
      <c r="G53">
        <v>6.4999999999999997E-3</v>
      </c>
      <c r="H53">
        <v>5.1999999999999998E-3</v>
      </c>
      <c r="J53" s="26"/>
      <c r="K53" s="26">
        <f>SUM(K46:K52)</f>
        <v>1</v>
      </c>
      <c r="L53" s="29">
        <f>SUM(L46:L52)</f>
        <v>1</v>
      </c>
      <c r="M53" s="31">
        <v>1</v>
      </c>
      <c r="N53" s="32">
        <f>SUM(N46:N52)</f>
        <v>1.0000000000000002</v>
      </c>
    </row>
    <row r="54" spans="1:19" x14ac:dyDescent="0.15">
      <c r="A54" s="4">
        <v>24807</v>
      </c>
      <c r="B54">
        <v>2.92E-2</v>
      </c>
      <c r="C54">
        <v>4.8500000000000001E-2</v>
      </c>
      <c r="D54">
        <v>2.9899999999999999E-2</v>
      </c>
      <c r="E54">
        <v>4.53E-2</v>
      </c>
      <c r="F54">
        <v>3.3300000000000003E-2</v>
      </c>
      <c r="G54">
        <v>8.4599999999999995E-2</v>
      </c>
      <c r="H54">
        <v>6.4199999999999993E-2</v>
      </c>
    </row>
    <row r="55" spans="1:19" x14ac:dyDescent="0.15">
      <c r="A55" s="4">
        <v>24838</v>
      </c>
      <c r="B55">
        <v>-5.5999999999999999E-3</v>
      </c>
      <c r="C55">
        <v>-6.4000000000000001E-2</v>
      </c>
      <c r="D55">
        <v>-2.3E-3</v>
      </c>
      <c r="E55">
        <v>-9.9599999999999994E-2</v>
      </c>
      <c r="F55">
        <v>5.7000000000000002E-3</v>
      </c>
      <c r="G55">
        <v>3.1E-2</v>
      </c>
      <c r="H55">
        <v>2.2599999999999999E-2</v>
      </c>
      <c r="K55" s="25" t="s">
        <v>21</v>
      </c>
      <c r="L55" s="24" cm="1">
        <f t="array" ref="L55">MMULT(K2:Q2,Industries_!K46:K52)</f>
        <v>1.1913397299108577E-2</v>
      </c>
      <c r="M55" s="25" t="s">
        <v>21</v>
      </c>
      <c r="N55" s="24" cm="1">
        <f t="array" ref="N55">MMULT(K2:Q2,M46:M52)</f>
        <v>1.9740124361661601E-2</v>
      </c>
      <c r="P55" s="6" t="s">
        <v>27</v>
      </c>
      <c r="Q55" s="6" t="s">
        <v>28</v>
      </c>
      <c r="R55" s="6" t="s">
        <v>15</v>
      </c>
      <c r="S55" s="6" t="s">
        <v>25</v>
      </c>
    </row>
    <row r="56" spans="1:19" x14ac:dyDescent="0.15">
      <c r="A56" s="4">
        <v>24869</v>
      </c>
      <c r="B56">
        <v>-1.7000000000000001E-2</v>
      </c>
      <c r="C56">
        <v>-3.4700000000000002E-2</v>
      </c>
      <c r="D56">
        <v>-2.3699999999999999E-2</v>
      </c>
      <c r="E56">
        <v>-4.8099999999999997E-2</v>
      </c>
      <c r="F56">
        <v>-1.3599999999999999E-2</v>
      </c>
      <c r="G56">
        <v>-7.4000000000000003E-3</v>
      </c>
      <c r="H56">
        <v>-1.1900000000000001E-2</v>
      </c>
      <c r="K56" s="24" t="s">
        <v>17</v>
      </c>
      <c r="L56" s="24" cm="1">
        <f t="array" ref="L56">MMULT(P46:V46,MMULT(K8:Q14,L46:L52))</f>
        <v>1.3325673273203635E-3</v>
      </c>
      <c r="M56" s="24" t="s">
        <v>17</v>
      </c>
      <c r="N56" s="24" cm="1">
        <f t="array" ref="N56">MMULT(P47:V47,MMULT(K8:Q14,N46:N52))</f>
        <v>2.9387590145045208E-3</v>
      </c>
      <c r="P56">
        <v>-3</v>
      </c>
      <c r="Q56">
        <f>1-P56</f>
        <v>4</v>
      </c>
      <c r="R56">
        <f>P56*$L$55+Q56*$N$55</f>
        <v>4.3220305549320673E-2</v>
      </c>
      <c r="S56">
        <f>P56^2*$L$56+Q56^2*$N$56+2*P56*Q56*$L$60</f>
        <v>2.7031634322266886E-2</v>
      </c>
    </row>
    <row r="57" spans="1:19" x14ac:dyDescent="0.15">
      <c r="A57" s="4">
        <v>24898</v>
      </c>
      <c r="B57">
        <v>9.4000000000000004E-3</v>
      </c>
      <c r="C57">
        <v>7.6E-3</v>
      </c>
      <c r="D57">
        <v>2.5999999999999999E-3</v>
      </c>
      <c r="E57">
        <v>4.7899999999999998E-2</v>
      </c>
      <c r="F57">
        <v>-3.9199999999999999E-2</v>
      </c>
      <c r="G57">
        <v>7.1999999999999998E-3</v>
      </c>
      <c r="H57">
        <v>5.1499999999999997E-2</v>
      </c>
      <c r="K57" s="25" t="s">
        <v>22</v>
      </c>
      <c r="L57" s="24">
        <f>SQRT(L56)</f>
        <v>3.650434669077593E-2</v>
      </c>
      <c r="M57" s="25" t="s">
        <v>22</v>
      </c>
      <c r="N57" s="24">
        <f>SQRT(N56)</f>
        <v>5.4210322029153463E-2</v>
      </c>
      <c r="P57">
        <f>P56+0.01</f>
        <v>-2.99</v>
      </c>
      <c r="Q57">
        <f>1-P57</f>
        <v>3.99</v>
      </c>
      <c r="R57">
        <f t="shared" ref="R57:R120" si="6">P57*$L$55+Q57*$N$55</f>
        <v>4.3142038278695144E-2</v>
      </c>
      <c r="S57">
        <f t="shared" ref="S57:S120" si="7">P57^2*$L$56+Q57^2*$N$56+2*P57*Q57*$L$60</f>
        <v>2.6903299606460866E-2</v>
      </c>
    </row>
    <row r="58" spans="1:19" x14ac:dyDescent="0.15">
      <c r="A58" s="4">
        <v>24929</v>
      </c>
      <c r="B58">
        <v>0.1046</v>
      </c>
      <c r="C58">
        <v>0.1016</v>
      </c>
      <c r="D58">
        <v>4.8599999999999997E-2</v>
      </c>
      <c r="E58">
        <v>0.1153</v>
      </c>
      <c r="F58">
        <v>2.7E-2</v>
      </c>
      <c r="G58">
        <v>0.13200000000000001</v>
      </c>
      <c r="H58">
        <v>0.114</v>
      </c>
      <c r="K58" s="25" t="s">
        <v>16</v>
      </c>
      <c r="L58" s="24">
        <f>(L55-K4)/L57</f>
        <v>0.17788011258257516</v>
      </c>
      <c r="M58" s="24" t="s">
        <v>16</v>
      </c>
      <c r="N58" s="24">
        <f>(N55-K4)/N57</f>
        <v>0.26415862930975509</v>
      </c>
      <c r="P58">
        <f t="shared" ref="P58:P121" si="8">P57+0.01</f>
        <v>-2.9800000000000004</v>
      </c>
      <c r="Q58">
        <f t="shared" ref="Q58:Q121" si="9">1-P58</f>
        <v>3.9800000000000004</v>
      </c>
      <c r="R58">
        <f t="shared" si="6"/>
        <v>4.3063771008069615E-2</v>
      </c>
      <c r="S58">
        <f t="shared" si="7"/>
        <v>2.6775286128992298E-2</v>
      </c>
    </row>
    <row r="59" spans="1:19" x14ac:dyDescent="0.15">
      <c r="A59" s="4">
        <v>24959</v>
      </c>
      <c r="B59">
        <v>5.6500000000000002E-2</v>
      </c>
      <c r="C59">
        <v>1.66E-2</v>
      </c>
      <c r="D59">
        <v>3.8999999999999998E-3</v>
      </c>
      <c r="E59">
        <v>7.7399999999999997E-2</v>
      </c>
      <c r="F59">
        <v>7.4000000000000003E-3</v>
      </c>
      <c r="G59">
        <v>8.8200000000000001E-2</v>
      </c>
      <c r="H59">
        <v>6.1899999999999997E-2</v>
      </c>
      <c r="P59">
        <f t="shared" si="8"/>
        <v>-2.9700000000000006</v>
      </c>
      <c r="Q59">
        <f t="shared" si="9"/>
        <v>3.9700000000000006</v>
      </c>
      <c r="R59">
        <f t="shared" si="6"/>
        <v>4.2985503737444086E-2</v>
      </c>
      <c r="S59">
        <f t="shared" si="7"/>
        <v>2.6647593889861168E-2</v>
      </c>
    </row>
    <row r="60" spans="1:19" x14ac:dyDescent="0.15">
      <c r="A60" s="4">
        <v>24990</v>
      </c>
      <c r="B60">
        <v>1.26E-2</v>
      </c>
      <c r="C60">
        <v>1.7000000000000001E-2</v>
      </c>
      <c r="D60">
        <v>2.1700000000000001E-2</v>
      </c>
      <c r="E60">
        <v>-2.53E-2</v>
      </c>
      <c r="F60">
        <v>8.5199999999999998E-2</v>
      </c>
      <c r="G60">
        <v>1.3899999999999999E-2</v>
      </c>
      <c r="H60">
        <v>6.4899999999999999E-2</v>
      </c>
      <c r="K60" s="25" t="s">
        <v>26</v>
      </c>
      <c r="L60" s="24" cm="1">
        <f t="array" ref="L60">MMULT(MMULT(P46:V46,K8:Q14),N46:N52)</f>
        <v>1.3325673273203633E-3</v>
      </c>
      <c r="P60">
        <f t="shared" si="8"/>
        <v>-2.9600000000000009</v>
      </c>
      <c r="Q60">
        <f t="shared" si="9"/>
        <v>3.9600000000000009</v>
      </c>
      <c r="R60">
        <f t="shared" si="6"/>
        <v>4.2907236466818557E-2</v>
      </c>
      <c r="S60">
        <f t="shared" si="7"/>
        <v>2.6520222889067458E-2</v>
      </c>
    </row>
    <row r="61" spans="1:19" x14ac:dyDescent="0.15">
      <c r="A61" s="4">
        <v>25020</v>
      </c>
      <c r="B61">
        <v>-3.4099999999999998E-2</v>
      </c>
      <c r="C61">
        <v>-2.7799999999999998E-2</v>
      </c>
      <c r="D61">
        <v>7.2599999999999998E-2</v>
      </c>
      <c r="E61">
        <v>-5.8599999999999999E-2</v>
      </c>
      <c r="F61">
        <v>2.5000000000000001E-3</v>
      </c>
      <c r="G61">
        <v>-2.4E-2</v>
      </c>
      <c r="H61">
        <v>1.67E-2</v>
      </c>
      <c r="P61">
        <f t="shared" si="8"/>
        <v>-2.9500000000000011</v>
      </c>
      <c r="Q61">
        <f t="shared" si="9"/>
        <v>3.9500000000000011</v>
      </c>
      <c r="R61">
        <f t="shared" si="6"/>
        <v>4.2828969196193022E-2</v>
      </c>
      <c r="S61">
        <f t="shared" si="7"/>
        <v>2.6393173126611193E-2</v>
      </c>
    </row>
    <row r="62" spans="1:19" x14ac:dyDescent="0.15">
      <c r="A62" s="4">
        <v>25051</v>
      </c>
      <c r="B62">
        <v>2.8799999999999999E-2</v>
      </c>
      <c r="C62">
        <v>1.78E-2</v>
      </c>
      <c r="D62">
        <v>1.78E-2</v>
      </c>
      <c r="E62">
        <v>3.5799999999999998E-2</v>
      </c>
      <c r="F62">
        <v>-7.7000000000000002E-3</v>
      </c>
      <c r="G62">
        <v>3.27E-2</v>
      </c>
      <c r="H62">
        <v>3.1099999999999999E-2</v>
      </c>
      <c r="P62">
        <f t="shared" si="8"/>
        <v>-2.9400000000000013</v>
      </c>
      <c r="Q62">
        <f t="shared" si="9"/>
        <v>3.9400000000000013</v>
      </c>
      <c r="R62">
        <f t="shared" si="6"/>
        <v>4.2750701925567493E-2</v>
      </c>
      <c r="S62">
        <f t="shared" si="7"/>
        <v>2.6266444602492368E-2</v>
      </c>
    </row>
    <row r="63" spans="1:19" x14ac:dyDescent="0.15">
      <c r="A63" s="4">
        <v>25082</v>
      </c>
      <c r="B63">
        <v>4.6800000000000001E-2</v>
      </c>
      <c r="C63">
        <v>3.7499999999999999E-2</v>
      </c>
      <c r="D63">
        <v>3.3000000000000002E-2</v>
      </c>
      <c r="E63">
        <v>2.47E-2</v>
      </c>
      <c r="F63">
        <v>5.8999999999999999E-3</v>
      </c>
      <c r="G63">
        <v>8.9099999999999999E-2</v>
      </c>
      <c r="H63">
        <v>8.0500000000000002E-2</v>
      </c>
      <c r="P63">
        <f t="shared" si="8"/>
        <v>-2.9300000000000015</v>
      </c>
      <c r="Q63">
        <f t="shared" si="9"/>
        <v>3.9300000000000015</v>
      </c>
      <c r="R63">
        <f t="shared" si="6"/>
        <v>4.2672434654941978E-2</v>
      </c>
      <c r="S63">
        <f t="shared" si="7"/>
        <v>2.6140037316710978E-2</v>
      </c>
    </row>
    <row r="64" spans="1:19" x14ac:dyDescent="0.15">
      <c r="A64" s="4">
        <v>25112</v>
      </c>
      <c r="B64">
        <v>9.1000000000000004E-3</v>
      </c>
      <c r="C64">
        <v>1.8700000000000001E-2</v>
      </c>
      <c r="D64">
        <v>3.4000000000000002E-2</v>
      </c>
      <c r="E64">
        <v>-2.0500000000000001E-2</v>
      </c>
      <c r="F64">
        <v>5.4999999999999997E-3</v>
      </c>
      <c r="G64">
        <v>2.8899999999999999E-2</v>
      </c>
      <c r="H64">
        <v>4.7899999999999998E-2</v>
      </c>
      <c r="P64">
        <f t="shared" si="8"/>
        <v>-2.9200000000000017</v>
      </c>
      <c r="Q64">
        <f t="shared" si="9"/>
        <v>3.9200000000000017</v>
      </c>
      <c r="R64">
        <f t="shared" si="6"/>
        <v>4.2594167384316449E-2</v>
      </c>
      <c r="S64">
        <f t="shared" si="7"/>
        <v>2.6013951269267022E-2</v>
      </c>
    </row>
    <row r="65" spans="1:19" x14ac:dyDescent="0.15">
      <c r="A65" s="4">
        <v>25143</v>
      </c>
      <c r="B65">
        <v>5.9400000000000001E-2</v>
      </c>
      <c r="C65">
        <v>6.3100000000000003E-2</v>
      </c>
      <c r="D65">
        <v>6.1600000000000002E-2</v>
      </c>
      <c r="E65">
        <v>8.1199999999999994E-2</v>
      </c>
      <c r="F65">
        <v>8.8400000000000006E-2</v>
      </c>
      <c r="G65">
        <v>9.4600000000000004E-2</v>
      </c>
      <c r="H65">
        <v>4.3700000000000003E-2</v>
      </c>
      <c r="P65">
        <f t="shared" si="8"/>
        <v>-2.9100000000000019</v>
      </c>
      <c r="Q65">
        <f t="shared" si="9"/>
        <v>3.9100000000000019</v>
      </c>
      <c r="R65">
        <f t="shared" si="6"/>
        <v>4.251590011369092E-2</v>
      </c>
      <c r="S65">
        <f t="shared" si="7"/>
        <v>2.5888186460160504E-2</v>
      </c>
    </row>
    <row r="66" spans="1:19" x14ac:dyDescent="0.15">
      <c r="A66" s="4">
        <v>25173</v>
      </c>
      <c r="B66">
        <v>-1.43E-2</v>
      </c>
      <c r="C66">
        <v>-3.1600000000000003E-2</v>
      </c>
      <c r="D66">
        <v>-2.8400000000000002E-2</v>
      </c>
      <c r="E66">
        <v>-4.7600000000000003E-2</v>
      </c>
      <c r="F66">
        <v>-2.6200000000000001E-2</v>
      </c>
      <c r="G66">
        <v>-1.6400000000000001E-2</v>
      </c>
      <c r="H66">
        <v>-1.77E-2</v>
      </c>
      <c r="P66">
        <f t="shared" si="8"/>
        <v>-2.9000000000000021</v>
      </c>
      <c r="Q66">
        <f t="shared" si="9"/>
        <v>3.9000000000000021</v>
      </c>
      <c r="R66">
        <f t="shared" si="6"/>
        <v>4.2437632843065391E-2</v>
      </c>
      <c r="S66">
        <f t="shared" si="7"/>
        <v>2.576274288939143E-2</v>
      </c>
    </row>
    <row r="67" spans="1:19" x14ac:dyDescent="0.15">
      <c r="A67" s="4">
        <v>25204</v>
      </c>
      <c r="B67">
        <v>-4.8999999999999998E-3</v>
      </c>
      <c r="C67">
        <v>-4.3E-3</v>
      </c>
      <c r="D67">
        <v>-1.1599999999999999E-2</v>
      </c>
      <c r="E67">
        <v>4.4000000000000003E-3</v>
      </c>
      <c r="F67">
        <v>2.5999999999999999E-2</v>
      </c>
      <c r="G67">
        <v>-1.4800000000000001E-2</v>
      </c>
      <c r="H67">
        <v>2.01E-2</v>
      </c>
      <c r="P67">
        <f t="shared" si="8"/>
        <v>-2.8900000000000023</v>
      </c>
      <c r="Q67">
        <f t="shared" si="9"/>
        <v>3.8900000000000023</v>
      </c>
      <c r="R67">
        <f t="shared" si="6"/>
        <v>4.2359365572439862E-2</v>
      </c>
      <c r="S67">
        <f t="shared" si="7"/>
        <v>2.5637620556959784E-2</v>
      </c>
    </row>
    <row r="68" spans="1:19" x14ac:dyDescent="0.15">
      <c r="A68" s="4">
        <v>25235</v>
      </c>
      <c r="B68">
        <v>-5.04E-2</v>
      </c>
      <c r="C68">
        <v>-4.9700000000000001E-2</v>
      </c>
      <c r="D68">
        <v>-4.3400000000000001E-2</v>
      </c>
      <c r="E68">
        <v>-4.24E-2</v>
      </c>
      <c r="F68">
        <v>-5.1299999999999998E-2</v>
      </c>
      <c r="G68">
        <v>-8.1600000000000006E-2</v>
      </c>
      <c r="H68">
        <v>-7.51E-2</v>
      </c>
      <c r="P68">
        <f t="shared" si="8"/>
        <v>-2.8800000000000026</v>
      </c>
      <c r="Q68">
        <f t="shared" si="9"/>
        <v>3.8800000000000026</v>
      </c>
      <c r="R68">
        <f t="shared" si="6"/>
        <v>4.2281098301814334E-2</v>
      </c>
      <c r="S68">
        <f t="shared" si="7"/>
        <v>2.5512819462865578E-2</v>
      </c>
    </row>
    <row r="69" spans="1:19" x14ac:dyDescent="0.15">
      <c r="A69" s="4">
        <v>25263</v>
      </c>
      <c r="B69">
        <v>1.46E-2</v>
      </c>
      <c r="C69">
        <v>1.4200000000000001E-2</v>
      </c>
      <c r="D69">
        <v>7.0999999999999994E-2</v>
      </c>
      <c r="E69">
        <v>2.0199999999999999E-2</v>
      </c>
      <c r="F69">
        <v>-1.0699999999999999E-2</v>
      </c>
      <c r="G69">
        <v>3.27E-2</v>
      </c>
      <c r="H69">
        <v>3.32E-2</v>
      </c>
      <c r="P69">
        <f>P68+0.01</f>
        <v>-2.8700000000000028</v>
      </c>
      <c r="Q69">
        <f t="shared" si="9"/>
        <v>3.8700000000000028</v>
      </c>
      <c r="R69">
        <f t="shared" si="6"/>
        <v>4.2202831031188805E-2</v>
      </c>
      <c r="S69">
        <f t="shared" si="7"/>
        <v>2.5388339607108804E-2</v>
      </c>
    </row>
    <row r="70" spans="1:19" x14ac:dyDescent="0.15">
      <c r="A70" s="4">
        <v>25294</v>
      </c>
      <c r="B70">
        <v>2.35E-2</v>
      </c>
      <c r="C70">
        <v>2.63E-2</v>
      </c>
      <c r="D70">
        <v>-3.0000000000000001E-3</v>
      </c>
      <c r="E70">
        <v>4.1500000000000002E-2</v>
      </c>
      <c r="F70">
        <v>1.52E-2</v>
      </c>
      <c r="G70">
        <v>4.0300000000000002E-2</v>
      </c>
      <c r="H70">
        <v>2.9499999999999998E-2</v>
      </c>
      <c r="P70">
        <f t="shared" si="8"/>
        <v>-2.860000000000003</v>
      </c>
      <c r="Q70">
        <f t="shared" si="9"/>
        <v>3.860000000000003</v>
      </c>
      <c r="R70">
        <f t="shared" si="6"/>
        <v>4.2124563760563276E-2</v>
      </c>
      <c r="S70">
        <f t="shared" si="7"/>
        <v>2.5264180989689473E-2</v>
      </c>
    </row>
    <row r="71" spans="1:19" x14ac:dyDescent="0.15">
      <c r="A71" s="4">
        <v>25324</v>
      </c>
      <c r="B71">
        <v>2.64E-2</v>
      </c>
      <c r="C71">
        <v>1.5699999999999999E-2</v>
      </c>
      <c r="D71">
        <v>5.0700000000000002E-2</v>
      </c>
      <c r="E71">
        <v>7.7999999999999996E-3</v>
      </c>
      <c r="F71">
        <v>2.5999999999999999E-3</v>
      </c>
      <c r="G71">
        <v>1.1900000000000001E-2</v>
      </c>
      <c r="H71">
        <v>-6.3E-3</v>
      </c>
      <c r="P71">
        <f t="shared" si="8"/>
        <v>-2.8500000000000032</v>
      </c>
      <c r="Q71">
        <f t="shared" si="9"/>
        <v>3.8500000000000032</v>
      </c>
      <c r="R71">
        <f t="shared" si="6"/>
        <v>4.204629648993774E-2</v>
      </c>
      <c r="S71">
        <f t="shared" si="7"/>
        <v>2.5140343610607577E-2</v>
      </c>
    </row>
    <row r="72" spans="1:19" x14ac:dyDescent="0.15">
      <c r="A72" s="4">
        <v>25355</v>
      </c>
      <c r="B72">
        <v>-6.2899999999999998E-2</v>
      </c>
      <c r="C72">
        <v>-5.4699999999999999E-2</v>
      </c>
      <c r="D72">
        <v>-9.2499999999999999E-2</v>
      </c>
      <c r="E72">
        <v>-9.7000000000000003E-3</v>
      </c>
      <c r="F72">
        <v>-5.7500000000000002E-2</v>
      </c>
      <c r="G72">
        <v>-9.4E-2</v>
      </c>
      <c r="H72">
        <v>-8.9099999999999999E-2</v>
      </c>
      <c r="P72">
        <f t="shared" si="8"/>
        <v>-2.8400000000000034</v>
      </c>
      <c r="Q72">
        <f t="shared" si="9"/>
        <v>3.8400000000000034</v>
      </c>
      <c r="R72">
        <f t="shared" si="6"/>
        <v>4.1968029219312211E-2</v>
      </c>
      <c r="S72">
        <f t="shared" si="7"/>
        <v>2.5016827469863126E-2</v>
      </c>
    </row>
    <row r="73" spans="1:19" x14ac:dyDescent="0.15">
      <c r="A73" s="4">
        <v>25385</v>
      </c>
      <c r="B73">
        <v>-5.2999999999999999E-2</v>
      </c>
      <c r="C73">
        <v>-3.0099999999999998E-2</v>
      </c>
      <c r="D73">
        <v>-9.5500000000000002E-2</v>
      </c>
      <c r="E73">
        <v>-2.7300000000000001E-2</v>
      </c>
      <c r="F73">
        <v>-2.8799999999999999E-2</v>
      </c>
      <c r="G73">
        <v>-8.48E-2</v>
      </c>
      <c r="H73">
        <v>-8.9499999999999996E-2</v>
      </c>
      <c r="P73">
        <f t="shared" si="8"/>
        <v>-2.8300000000000036</v>
      </c>
      <c r="Q73">
        <f t="shared" si="9"/>
        <v>3.8300000000000036</v>
      </c>
      <c r="R73">
        <f t="shared" si="6"/>
        <v>4.1889761948686682E-2</v>
      </c>
      <c r="S73">
        <f t="shared" si="7"/>
        <v>2.4893632567456095E-2</v>
      </c>
    </row>
    <row r="74" spans="1:19" x14ac:dyDescent="0.15">
      <c r="A74" s="4">
        <v>25416</v>
      </c>
      <c r="B74">
        <v>4.8099999999999997E-2</v>
      </c>
      <c r="C74">
        <v>6.1600000000000002E-2</v>
      </c>
      <c r="D74">
        <v>6.8400000000000002E-2</v>
      </c>
      <c r="E74">
        <v>6.7599999999999993E-2</v>
      </c>
      <c r="F74">
        <v>-1.0500000000000001E-2</v>
      </c>
      <c r="G74">
        <v>9.1200000000000003E-2</v>
      </c>
      <c r="H74">
        <v>8.9599999999999999E-2</v>
      </c>
      <c r="P74">
        <f t="shared" si="8"/>
        <v>-2.8200000000000038</v>
      </c>
      <c r="Q74">
        <f t="shared" si="9"/>
        <v>3.8200000000000038</v>
      </c>
      <c r="R74">
        <f t="shared" si="6"/>
        <v>4.1811494678061153E-2</v>
      </c>
      <c r="S74">
        <f t="shared" si="7"/>
        <v>2.4770758903386515E-2</v>
      </c>
    </row>
    <row r="75" spans="1:19" x14ac:dyDescent="0.15">
      <c r="A75" s="4">
        <v>25447</v>
      </c>
      <c r="B75">
        <v>1.11E-2</v>
      </c>
      <c r="C75">
        <v>-1.0200000000000001E-2</v>
      </c>
      <c r="D75">
        <v>-9.0899999999999995E-2</v>
      </c>
      <c r="E75">
        <v>1.9E-3</v>
      </c>
      <c r="F75">
        <v>-4.02E-2</v>
      </c>
      <c r="G75">
        <v>1.17E-2</v>
      </c>
      <c r="H75">
        <v>-2.0000000000000001E-4</v>
      </c>
      <c r="P75">
        <f t="shared" si="8"/>
        <v>-2.8100000000000041</v>
      </c>
      <c r="Q75">
        <f t="shared" si="9"/>
        <v>3.8100000000000041</v>
      </c>
      <c r="R75">
        <f t="shared" si="6"/>
        <v>4.1733227407435625E-2</v>
      </c>
      <c r="S75">
        <f t="shared" si="7"/>
        <v>2.4648206477654359E-2</v>
      </c>
    </row>
    <row r="76" spans="1:19" x14ac:dyDescent="0.15">
      <c r="A76" s="4">
        <v>25477</v>
      </c>
      <c r="B76">
        <v>8.5500000000000007E-2</v>
      </c>
      <c r="C76">
        <v>7.6999999999999999E-2</v>
      </c>
      <c r="D76">
        <v>-1.83E-2</v>
      </c>
      <c r="E76">
        <v>8.43E-2</v>
      </c>
      <c r="F76">
        <v>8.4400000000000003E-2</v>
      </c>
      <c r="G76">
        <v>9.0499999999999997E-2</v>
      </c>
      <c r="H76">
        <v>6.6000000000000003E-2</v>
      </c>
      <c r="P76">
        <f t="shared" si="8"/>
        <v>-2.8000000000000043</v>
      </c>
      <c r="Q76">
        <f t="shared" si="9"/>
        <v>3.8000000000000043</v>
      </c>
      <c r="R76">
        <f t="shared" si="6"/>
        <v>4.1654960136810096E-2</v>
      </c>
      <c r="S76">
        <f t="shared" si="7"/>
        <v>2.4525975290259648E-2</v>
      </c>
    </row>
    <row r="77" spans="1:19" x14ac:dyDescent="0.15">
      <c r="A77" s="4">
        <v>25508</v>
      </c>
      <c r="B77">
        <v>-1.8100000000000002E-2</v>
      </c>
      <c r="C77">
        <v>-1.83E-2</v>
      </c>
      <c r="D77">
        <v>-4.7300000000000002E-2</v>
      </c>
      <c r="E77">
        <v>-1.44E-2</v>
      </c>
      <c r="F77">
        <v>-5.1200000000000002E-2</v>
      </c>
      <c r="G77">
        <v>-3.2199999999999999E-2</v>
      </c>
      <c r="H77">
        <v>-3.9699999999999999E-2</v>
      </c>
      <c r="P77">
        <f t="shared" si="8"/>
        <v>-2.7900000000000045</v>
      </c>
      <c r="Q77">
        <f t="shared" si="9"/>
        <v>3.7900000000000045</v>
      </c>
      <c r="R77">
        <f t="shared" si="6"/>
        <v>4.1576692866184581E-2</v>
      </c>
      <c r="S77">
        <f t="shared" si="7"/>
        <v>2.4404065341202378E-2</v>
      </c>
    </row>
    <row r="78" spans="1:19" x14ac:dyDescent="0.15">
      <c r="A78" s="4">
        <v>25538</v>
      </c>
      <c r="B78">
        <v>-3.0000000000000001E-3</v>
      </c>
      <c r="C78">
        <v>0.01</v>
      </c>
      <c r="D78">
        <v>-2.3199999999999998E-2</v>
      </c>
      <c r="E78">
        <v>3.3799999999999997E-2</v>
      </c>
      <c r="F78">
        <v>-4.4999999999999997E-3</v>
      </c>
      <c r="G78">
        <v>-3.2899999999999999E-2</v>
      </c>
      <c r="H78">
        <v>-1.38E-2</v>
      </c>
      <c r="P78">
        <f t="shared" si="8"/>
        <v>-2.7800000000000047</v>
      </c>
      <c r="Q78">
        <f t="shared" si="9"/>
        <v>3.7800000000000047</v>
      </c>
      <c r="R78">
        <f t="shared" si="6"/>
        <v>4.1498425595559052E-2</v>
      </c>
      <c r="S78">
        <f t="shared" si="7"/>
        <v>2.4282476630482538E-2</v>
      </c>
    </row>
    <row r="79" spans="1:19" x14ac:dyDescent="0.15">
      <c r="A79" s="4">
        <v>25569</v>
      </c>
      <c r="B79">
        <v>-2.2100000000000002E-2</v>
      </c>
      <c r="C79">
        <v>-5.57E-2</v>
      </c>
      <c r="D79">
        <v>-9.8900000000000002E-2</v>
      </c>
      <c r="E79">
        <v>-7.2099999999999997E-2</v>
      </c>
      <c r="F79">
        <v>-0.04</v>
      </c>
      <c r="G79">
        <v>-6.2799999999999995E-2</v>
      </c>
      <c r="H79">
        <v>-7.2900000000000006E-2</v>
      </c>
      <c r="P79">
        <f t="shared" si="8"/>
        <v>-2.7700000000000049</v>
      </c>
      <c r="Q79">
        <f t="shared" si="9"/>
        <v>3.7700000000000049</v>
      </c>
      <c r="R79">
        <f t="shared" si="6"/>
        <v>4.1420158324933523E-2</v>
      </c>
      <c r="S79">
        <f t="shared" si="7"/>
        <v>2.416120915810014E-2</v>
      </c>
    </row>
    <row r="80" spans="1:19" x14ac:dyDescent="0.15">
      <c r="A80" s="4">
        <v>25600</v>
      </c>
      <c r="B80">
        <v>5.4899999999999997E-2</v>
      </c>
      <c r="C80">
        <v>4.53E-2</v>
      </c>
      <c r="D80">
        <v>5.0799999999999998E-2</v>
      </c>
      <c r="E80">
        <v>7.7999999999999996E-3</v>
      </c>
      <c r="F80">
        <v>8.5000000000000006E-2</v>
      </c>
      <c r="G80">
        <v>4.87E-2</v>
      </c>
      <c r="H80">
        <v>8.6900000000000005E-2</v>
      </c>
      <c r="P80">
        <f t="shared" si="8"/>
        <v>-2.7600000000000051</v>
      </c>
      <c r="Q80">
        <f t="shared" si="9"/>
        <v>3.7600000000000051</v>
      </c>
      <c r="R80">
        <f t="shared" si="6"/>
        <v>4.1341891054307987E-2</v>
      </c>
      <c r="S80">
        <f t="shared" si="7"/>
        <v>2.4040262924055176E-2</v>
      </c>
    </row>
    <row r="81" spans="1:19" x14ac:dyDescent="0.15">
      <c r="A81" s="4">
        <v>25628</v>
      </c>
      <c r="B81">
        <v>-4.8999999999999998E-3</v>
      </c>
      <c r="C81">
        <v>-2.1399999999999999E-2</v>
      </c>
      <c r="D81">
        <v>6.0000000000000001E-3</v>
      </c>
      <c r="E81">
        <v>-3.4000000000000002E-2</v>
      </c>
      <c r="F81">
        <v>3.1099999999999999E-2</v>
      </c>
      <c r="G81">
        <v>-2.9600000000000001E-2</v>
      </c>
      <c r="H81">
        <v>8.5000000000000006E-3</v>
      </c>
      <c r="P81">
        <f t="shared" si="8"/>
        <v>-2.7500000000000053</v>
      </c>
      <c r="Q81">
        <f t="shared" si="9"/>
        <v>3.7500000000000053</v>
      </c>
      <c r="R81">
        <f t="shared" si="6"/>
        <v>4.1263623783682458E-2</v>
      </c>
      <c r="S81">
        <f t="shared" si="7"/>
        <v>2.3919637928347646E-2</v>
      </c>
    </row>
    <row r="82" spans="1:19" x14ac:dyDescent="0.15">
      <c r="A82" s="4">
        <v>25659</v>
      </c>
      <c r="B82">
        <v>-9.7299999999999998E-2</v>
      </c>
      <c r="C82">
        <v>-7.0599999999999996E-2</v>
      </c>
      <c r="D82">
        <v>-8.3199999999999996E-2</v>
      </c>
      <c r="E82">
        <v>-8.6199999999999999E-2</v>
      </c>
      <c r="F82">
        <v>-7.9399999999999998E-2</v>
      </c>
      <c r="G82">
        <v>-0.1396</v>
      </c>
      <c r="H82">
        <v>-0.1158</v>
      </c>
      <c r="P82">
        <f t="shared" si="8"/>
        <v>-2.7400000000000055</v>
      </c>
      <c r="Q82">
        <f t="shared" si="9"/>
        <v>3.7400000000000055</v>
      </c>
      <c r="R82">
        <f t="shared" si="6"/>
        <v>4.118535651305693E-2</v>
      </c>
      <c r="S82">
        <f t="shared" si="7"/>
        <v>2.379933417097756E-2</v>
      </c>
    </row>
    <row r="83" spans="1:19" x14ac:dyDescent="0.15">
      <c r="A83" s="4">
        <v>25689</v>
      </c>
      <c r="B83">
        <v>-6.8099999999999994E-2</v>
      </c>
      <c r="C83">
        <v>-4.8000000000000001E-2</v>
      </c>
      <c r="D83">
        <v>3.3300000000000003E-2</v>
      </c>
      <c r="E83">
        <v>-0.1081</v>
      </c>
      <c r="F83">
        <v>-5.1700000000000003E-2</v>
      </c>
      <c r="G83">
        <v>-8.0699999999999994E-2</v>
      </c>
      <c r="H83">
        <v>-6.1400000000000003E-2</v>
      </c>
      <c r="P83">
        <f t="shared" si="8"/>
        <v>-2.7300000000000058</v>
      </c>
      <c r="Q83">
        <f t="shared" si="9"/>
        <v>3.7300000000000058</v>
      </c>
      <c r="R83">
        <f t="shared" si="6"/>
        <v>4.1107089242431401E-2</v>
      </c>
      <c r="S83">
        <f t="shared" si="7"/>
        <v>2.3679351651944906E-2</v>
      </c>
    </row>
    <row r="84" spans="1:19" x14ac:dyDescent="0.15">
      <c r="A84" s="4">
        <v>25720</v>
      </c>
      <c r="B84">
        <v>-3.5999999999999999E-3</v>
      </c>
      <c r="C84">
        <v>-5.7999999999999996E-3</v>
      </c>
      <c r="D84">
        <v>-2.12E-2</v>
      </c>
      <c r="E84">
        <v>-5.7700000000000001E-2</v>
      </c>
      <c r="F84">
        <v>-4.3400000000000001E-2</v>
      </c>
      <c r="G84">
        <v>-3.3099999999999997E-2</v>
      </c>
      <c r="H84">
        <v>-1.9400000000000001E-2</v>
      </c>
      <c r="P84">
        <f t="shared" si="8"/>
        <v>-2.720000000000006</v>
      </c>
      <c r="Q84">
        <f t="shared" si="9"/>
        <v>3.720000000000006</v>
      </c>
      <c r="R84">
        <f t="shared" si="6"/>
        <v>4.1028821971805872E-2</v>
      </c>
      <c r="S84">
        <f t="shared" si="7"/>
        <v>2.3559690371249681E-2</v>
      </c>
    </row>
    <row r="85" spans="1:19" x14ac:dyDescent="0.15">
      <c r="A85" s="4">
        <v>25750</v>
      </c>
      <c r="B85">
        <v>6.0400000000000002E-2</v>
      </c>
      <c r="C85">
        <v>5.5300000000000002E-2</v>
      </c>
      <c r="D85">
        <v>0.12609999999999999</v>
      </c>
      <c r="E85">
        <v>2.3699999999999999E-2</v>
      </c>
      <c r="F85">
        <v>9.0200000000000002E-2</v>
      </c>
      <c r="G85">
        <v>8.3000000000000004E-2</v>
      </c>
      <c r="H85">
        <v>8.3500000000000005E-2</v>
      </c>
      <c r="P85">
        <f t="shared" si="8"/>
        <v>-2.7100000000000062</v>
      </c>
      <c r="Q85">
        <f t="shared" si="9"/>
        <v>3.7100000000000062</v>
      </c>
      <c r="R85">
        <f t="shared" si="6"/>
        <v>4.0950554701180343E-2</v>
      </c>
      <c r="S85">
        <f t="shared" si="7"/>
        <v>2.3440350328891902E-2</v>
      </c>
    </row>
    <row r="86" spans="1:19" x14ac:dyDescent="0.15">
      <c r="A86" s="4">
        <v>25781</v>
      </c>
      <c r="B86">
        <v>-1.8E-3</v>
      </c>
      <c r="C86">
        <v>2.9700000000000001E-2</v>
      </c>
      <c r="D86">
        <v>6.7900000000000002E-2</v>
      </c>
      <c r="E86">
        <v>6.1199999999999997E-2</v>
      </c>
      <c r="F86">
        <v>4.7899999999999998E-2</v>
      </c>
      <c r="G86">
        <v>7.4499999999999997E-2</v>
      </c>
      <c r="H86">
        <v>6.5100000000000005E-2</v>
      </c>
      <c r="P86">
        <f t="shared" si="8"/>
        <v>-2.7000000000000064</v>
      </c>
      <c r="Q86">
        <f t="shared" si="9"/>
        <v>3.7000000000000064</v>
      </c>
      <c r="R86">
        <f t="shared" si="6"/>
        <v>4.0872287430554814E-2</v>
      </c>
      <c r="S86">
        <f t="shared" si="7"/>
        <v>2.332133152487156E-2</v>
      </c>
    </row>
    <row r="87" spans="1:19" x14ac:dyDescent="0.15">
      <c r="A87" s="4">
        <v>25812</v>
      </c>
      <c r="B87">
        <v>5.0799999999999998E-2</v>
      </c>
      <c r="C87">
        <v>5.1999999999999998E-2</v>
      </c>
      <c r="D87">
        <v>2.69E-2</v>
      </c>
      <c r="E87">
        <v>7.3899999999999993E-2</v>
      </c>
      <c r="F87">
        <v>-1E-3</v>
      </c>
      <c r="G87">
        <v>0.1036</v>
      </c>
      <c r="H87">
        <v>5.9799999999999999E-2</v>
      </c>
      <c r="P87">
        <f t="shared" si="8"/>
        <v>-2.6900000000000066</v>
      </c>
      <c r="Q87">
        <f t="shared" si="9"/>
        <v>3.6900000000000066</v>
      </c>
      <c r="R87">
        <f t="shared" si="6"/>
        <v>4.0794020159929285E-2</v>
      </c>
      <c r="S87">
        <f t="shared" si="7"/>
        <v>2.3202633959188649E-2</v>
      </c>
    </row>
    <row r="88" spans="1:19" x14ac:dyDescent="0.15">
      <c r="A88" s="4">
        <v>25842</v>
      </c>
      <c r="B88">
        <v>1.2699999999999999E-2</v>
      </c>
      <c r="C88">
        <v>-4.7000000000000002E-3</v>
      </c>
      <c r="D88">
        <v>3.4299999999999997E-2</v>
      </c>
      <c r="E88">
        <v>-1.24E-2</v>
      </c>
      <c r="F88">
        <v>-7.3000000000000001E-3</v>
      </c>
      <c r="G88">
        <v>-1.7000000000000001E-2</v>
      </c>
      <c r="H88">
        <v>-3.4000000000000002E-2</v>
      </c>
      <c r="P88">
        <f t="shared" si="8"/>
        <v>-2.6800000000000068</v>
      </c>
      <c r="Q88">
        <f t="shared" si="9"/>
        <v>3.6800000000000068</v>
      </c>
      <c r="R88">
        <f t="shared" si="6"/>
        <v>4.0715752889303757E-2</v>
      </c>
      <c r="S88">
        <f t="shared" si="7"/>
        <v>2.3084257631843186E-2</v>
      </c>
    </row>
    <row r="89" spans="1:19" x14ac:dyDescent="0.15">
      <c r="A89" s="4">
        <v>25873</v>
      </c>
      <c r="B89">
        <v>5.0299999999999997E-2</v>
      </c>
      <c r="C89">
        <v>4.1799999999999997E-2</v>
      </c>
      <c r="D89">
        <v>5.1200000000000002E-2</v>
      </c>
      <c r="E89">
        <v>4.8500000000000001E-2</v>
      </c>
      <c r="F89">
        <v>9.5000000000000001E-2</v>
      </c>
      <c r="G89">
        <v>3.2199999999999999E-2</v>
      </c>
      <c r="H89">
        <v>2.8799999999999999E-2</v>
      </c>
      <c r="P89">
        <f t="shared" si="8"/>
        <v>-2.670000000000007</v>
      </c>
      <c r="Q89">
        <f t="shared" si="9"/>
        <v>3.670000000000007</v>
      </c>
      <c r="R89">
        <f t="shared" si="6"/>
        <v>4.0637485618678228E-2</v>
      </c>
      <c r="S89">
        <f t="shared" si="7"/>
        <v>2.2966202542835143E-2</v>
      </c>
    </row>
    <row r="90" spans="1:19" x14ac:dyDescent="0.15">
      <c r="A90" s="4">
        <v>25903</v>
      </c>
      <c r="B90">
        <v>6.2E-2</v>
      </c>
      <c r="C90">
        <v>7.2599999999999998E-2</v>
      </c>
      <c r="D90">
        <v>2.4299999999999999E-2</v>
      </c>
      <c r="E90">
        <v>4.6199999999999998E-2</v>
      </c>
      <c r="F90">
        <v>7.4399999999999994E-2</v>
      </c>
      <c r="G90">
        <v>9.2600000000000002E-2</v>
      </c>
      <c r="H90">
        <v>7.3400000000000007E-2</v>
      </c>
      <c r="P90">
        <f t="shared" si="8"/>
        <v>-2.6600000000000072</v>
      </c>
      <c r="Q90">
        <f t="shared" si="9"/>
        <v>3.6600000000000072</v>
      </c>
      <c r="R90">
        <f t="shared" si="6"/>
        <v>4.0559218348052692E-2</v>
      </c>
      <c r="S90">
        <f t="shared" si="7"/>
        <v>2.2848468692164555E-2</v>
      </c>
    </row>
    <row r="91" spans="1:19" x14ac:dyDescent="0.15">
      <c r="A91" s="4">
        <v>25934</v>
      </c>
      <c r="B91">
        <v>3.4599999999999999E-2</v>
      </c>
      <c r="C91">
        <v>5.1499999999999997E-2</v>
      </c>
      <c r="D91">
        <v>-5.9999999999999995E-4</v>
      </c>
      <c r="E91">
        <v>7.5899999999999995E-2</v>
      </c>
      <c r="F91">
        <v>3.3099999999999997E-2</v>
      </c>
      <c r="G91">
        <v>9.9299999999999999E-2</v>
      </c>
      <c r="H91">
        <v>3.5999999999999997E-2</v>
      </c>
      <c r="P91">
        <f t="shared" si="8"/>
        <v>-2.6500000000000075</v>
      </c>
      <c r="Q91">
        <f t="shared" si="9"/>
        <v>3.6500000000000075</v>
      </c>
      <c r="R91">
        <f t="shared" si="6"/>
        <v>4.0480951077427177E-2</v>
      </c>
      <c r="S91">
        <f t="shared" si="7"/>
        <v>2.2731056079831391E-2</v>
      </c>
    </row>
    <row r="92" spans="1:19" x14ac:dyDescent="0.15">
      <c r="A92" s="4">
        <v>25965</v>
      </c>
      <c r="B92">
        <v>2.5100000000000001E-2</v>
      </c>
      <c r="C92">
        <v>1.4500000000000001E-2</v>
      </c>
      <c r="D92">
        <v>5.2699999999999997E-2</v>
      </c>
      <c r="E92">
        <v>1.0500000000000001E-2</v>
      </c>
      <c r="F92">
        <v>-2.3599999999999999E-2</v>
      </c>
      <c r="G92">
        <v>4.2900000000000001E-2</v>
      </c>
      <c r="H92">
        <v>2.52E-2</v>
      </c>
      <c r="P92">
        <f t="shared" si="8"/>
        <v>-2.6400000000000077</v>
      </c>
      <c r="Q92">
        <f t="shared" si="9"/>
        <v>3.6400000000000077</v>
      </c>
      <c r="R92">
        <f t="shared" si="6"/>
        <v>4.0402683806801648E-2</v>
      </c>
      <c r="S92">
        <f t="shared" si="7"/>
        <v>2.2613964705835671E-2</v>
      </c>
    </row>
    <row r="93" spans="1:19" x14ac:dyDescent="0.15">
      <c r="A93" s="4">
        <v>25993</v>
      </c>
      <c r="B93">
        <v>4.2099999999999999E-2</v>
      </c>
      <c r="C93">
        <v>3.8199999999999998E-2</v>
      </c>
      <c r="D93">
        <v>2.4299999999999999E-2</v>
      </c>
      <c r="E93">
        <v>8.2699999999999996E-2</v>
      </c>
      <c r="F93">
        <v>2.5700000000000001E-2</v>
      </c>
      <c r="G93">
        <v>9.7799999999999998E-2</v>
      </c>
      <c r="H93">
        <v>6.3399999999999998E-2</v>
      </c>
      <c r="P93">
        <f t="shared" si="8"/>
        <v>-2.6300000000000079</v>
      </c>
      <c r="Q93">
        <f t="shared" si="9"/>
        <v>3.6300000000000079</v>
      </c>
      <c r="R93">
        <f t="shared" si="6"/>
        <v>4.0324416536176119E-2</v>
      </c>
      <c r="S93">
        <f t="shared" si="7"/>
        <v>2.2497194570177386E-2</v>
      </c>
    </row>
    <row r="94" spans="1:19" x14ac:dyDescent="0.15">
      <c r="A94" s="4">
        <v>26024</v>
      </c>
      <c r="B94">
        <v>1.8700000000000001E-2</v>
      </c>
      <c r="C94">
        <v>4.3299999999999998E-2</v>
      </c>
      <c r="D94">
        <v>4.7899999999999998E-2</v>
      </c>
      <c r="E94">
        <v>3.73E-2</v>
      </c>
      <c r="F94">
        <v>-3.0599999999999999E-2</v>
      </c>
      <c r="G94">
        <v>2.9899999999999999E-2</v>
      </c>
      <c r="H94">
        <v>3.7199999999999997E-2</v>
      </c>
      <c r="P94">
        <f t="shared" si="8"/>
        <v>-2.6200000000000081</v>
      </c>
      <c r="Q94">
        <f t="shared" si="9"/>
        <v>3.6200000000000081</v>
      </c>
      <c r="R94">
        <f t="shared" si="6"/>
        <v>4.024614926555059E-2</v>
      </c>
      <c r="S94">
        <f t="shared" si="7"/>
        <v>2.2380745672856538E-2</v>
      </c>
    </row>
    <row r="95" spans="1:19" x14ac:dyDescent="0.15">
      <c r="A95" s="4">
        <v>26054</v>
      </c>
      <c r="B95">
        <v>-1.0500000000000001E-2</v>
      </c>
      <c r="C95">
        <v>-1.2800000000000001E-2</v>
      </c>
      <c r="D95">
        <v>-4.7100000000000003E-2</v>
      </c>
      <c r="E95">
        <v>1.6000000000000001E-3</v>
      </c>
      <c r="F95">
        <v>-3.6200000000000003E-2</v>
      </c>
      <c r="G95">
        <v>-1.89E-2</v>
      </c>
      <c r="H95">
        <v>-3.0800000000000001E-2</v>
      </c>
      <c r="P95">
        <f t="shared" si="8"/>
        <v>-2.6100000000000083</v>
      </c>
      <c r="Q95">
        <f t="shared" si="9"/>
        <v>3.6100000000000083</v>
      </c>
      <c r="R95">
        <f t="shared" si="6"/>
        <v>4.0167881994925062E-2</v>
      </c>
      <c r="S95">
        <f t="shared" si="7"/>
        <v>2.2264618013873118E-2</v>
      </c>
    </row>
    <row r="96" spans="1:19" x14ac:dyDescent="0.15">
      <c r="A96" s="4">
        <v>26085</v>
      </c>
      <c r="B96">
        <v>1.4200000000000001E-2</v>
      </c>
      <c r="C96">
        <v>2.0199999999999999E-2</v>
      </c>
      <c r="D96">
        <v>1.47E-2</v>
      </c>
      <c r="E96">
        <v>3.1899999999999998E-2</v>
      </c>
      <c r="F96">
        <v>4.48E-2</v>
      </c>
      <c r="G96">
        <v>3.8300000000000001E-2</v>
      </c>
      <c r="H96">
        <v>-5.1000000000000004E-3</v>
      </c>
      <c r="P96">
        <f t="shared" si="8"/>
        <v>-2.6000000000000085</v>
      </c>
      <c r="Q96">
        <f t="shared" si="9"/>
        <v>3.6000000000000085</v>
      </c>
      <c r="R96">
        <f t="shared" si="6"/>
        <v>4.0089614724299533E-2</v>
      </c>
      <c r="S96">
        <f t="shared" si="7"/>
        <v>2.2148811593227149E-2</v>
      </c>
    </row>
    <row r="97" spans="1:19" x14ac:dyDescent="0.15">
      <c r="A97" s="4">
        <v>26115</v>
      </c>
      <c r="B97">
        <v>-7.1999999999999998E-3</v>
      </c>
      <c r="C97">
        <v>-2.7699999999999999E-2</v>
      </c>
      <c r="D97">
        <v>-1.34E-2</v>
      </c>
      <c r="E97">
        <v>-4.0500000000000001E-2</v>
      </c>
      <c r="F97">
        <v>-1.9599999999999999E-2</v>
      </c>
      <c r="G97">
        <v>-4.8099999999999997E-2</v>
      </c>
      <c r="H97">
        <v>-1.09E-2</v>
      </c>
      <c r="P97">
        <f t="shared" si="8"/>
        <v>-2.5900000000000087</v>
      </c>
      <c r="Q97">
        <f t="shared" si="9"/>
        <v>3.5900000000000087</v>
      </c>
      <c r="R97">
        <f t="shared" si="6"/>
        <v>4.0011347453674004E-2</v>
      </c>
      <c r="S97">
        <f t="shared" si="7"/>
        <v>2.2033326410918607E-2</v>
      </c>
    </row>
    <row r="98" spans="1:19" x14ac:dyDescent="0.15">
      <c r="A98" s="4">
        <v>26146</v>
      </c>
      <c r="B98">
        <v>2.6100000000000002E-2</v>
      </c>
      <c r="C98">
        <v>5.5100000000000003E-2</v>
      </c>
      <c r="D98">
        <v>-6.0000000000000001E-3</v>
      </c>
      <c r="E98">
        <v>4.7600000000000003E-2</v>
      </c>
      <c r="F98">
        <v>-2.1000000000000001E-2</v>
      </c>
      <c r="G98">
        <v>4.53E-2</v>
      </c>
      <c r="H98">
        <v>4.6399999999999997E-2</v>
      </c>
      <c r="P98">
        <f t="shared" si="8"/>
        <v>-2.580000000000009</v>
      </c>
      <c r="Q98">
        <f t="shared" si="9"/>
        <v>3.580000000000009</v>
      </c>
      <c r="R98">
        <f t="shared" si="6"/>
        <v>3.9933080183048475E-2</v>
      </c>
      <c r="S98">
        <f t="shared" si="7"/>
        <v>2.1918162466947499E-2</v>
      </c>
    </row>
    <row r="99" spans="1:19" x14ac:dyDescent="0.15">
      <c r="A99" s="4">
        <v>26177</v>
      </c>
      <c r="B99">
        <v>5.1999999999999998E-3</v>
      </c>
      <c r="C99">
        <v>7.7999999999999996E-3</v>
      </c>
      <c r="D99">
        <v>-8.3999999999999995E-3</v>
      </c>
      <c r="E99">
        <v>2.4299999999999999E-2</v>
      </c>
      <c r="F99">
        <v>-1.43E-2</v>
      </c>
      <c r="G99">
        <v>1.9800000000000002E-2</v>
      </c>
      <c r="H99">
        <v>-5.3E-3</v>
      </c>
      <c r="P99">
        <f t="shared" si="8"/>
        <v>-2.5700000000000092</v>
      </c>
      <c r="Q99">
        <f t="shared" si="9"/>
        <v>3.5700000000000092</v>
      </c>
      <c r="R99">
        <f t="shared" si="6"/>
        <v>3.9854812912422946E-2</v>
      </c>
      <c r="S99">
        <f t="shared" si="7"/>
        <v>2.180331976131384E-2</v>
      </c>
    </row>
    <row r="100" spans="1:19" x14ac:dyDescent="0.15">
      <c r="A100" s="4">
        <v>26207</v>
      </c>
      <c r="B100">
        <v>-2.4E-2</v>
      </c>
      <c r="C100">
        <v>-3.4299999999999997E-2</v>
      </c>
      <c r="D100">
        <v>-3.09E-2</v>
      </c>
      <c r="E100">
        <v>-4.0899999999999999E-2</v>
      </c>
      <c r="F100">
        <v>2.18E-2</v>
      </c>
      <c r="G100">
        <v>-0.03</v>
      </c>
      <c r="H100">
        <v>-1.7399999999999999E-2</v>
      </c>
      <c r="P100">
        <f t="shared" si="8"/>
        <v>-2.5600000000000094</v>
      </c>
      <c r="Q100">
        <f t="shared" si="9"/>
        <v>3.5600000000000094</v>
      </c>
      <c r="R100">
        <f t="shared" si="6"/>
        <v>3.9776545641797417E-2</v>
      </c>
      <c r="S100">
        <f t="shared" si="7"/>
        <v>2.1688798294017608E-2</v>
      </c>
    </row>
    <row r="101" spans="1:19" x14ac:dyDescent="0.15">
      <c r="A101" s="4">
        <v>26238</v>
      </c>
      <c r="B101">
        <v>5.8999999999999999E-3</v>
      </c>
      <c r="C101">
        <v>4.0000000000000002E-4</v>
      </c>
      <c r="D101">
        <v>2.8E-3</v>
      </c>
      <c r="E101">
        <v>1.9099999999999999E-2</v>
      </c>
      <c r="F101">
        <v>-1.0800000000000001E-2</v>
      </c>
      <c r="G101">
        <v>1.6000000000000001E-3</v>
      </c>
      <c r="H101">
        <v>-9.7999999999999997E-3</v>
      </c>
      <c r="P101">
        <f t="shared" si="8"/>
        <v>-2.5500000000000096</v>
      </c>
      <c r="Q101">
        <f t="shared" si="9"/>
        <v>3.5500000000000096</v>
      </c>
      <c r="R101">
        <f t="shared" si="6"/>
        <v>3.9698278371171881E-2</v>
      </c>
      <c r="S101">
        <f t="shared" si="7"/>
        <v>2.157459806505882E-2</v>
      </c>
    </row>
    <row r="102" spans="1:19" x14ac:dyDescent="0.15">
      <c r="A102" s="4">
        <v>26268</v>
      </c>
      <c r="B102">
        <v>0.1051</v>
      </c>
      <c r="C102">
        <v>7.85E-2</v>
      </c>
      <c r="D102">
        <v>8.1699999999999995E-2</v>
      </c>
      <c r="E102">
        <v>0.1036</v>
      </c>
      <c r="F102">
        <v>8.3099999999999993E-2</v>
      </c>
      <c r="G102">
        <v>0.13139999999999999</v>
      </c>
      <c r="H102">
        <v>6.4199999999999993E-2</v>
      </c>
      <c r="P102">
        <f t="shared" si="8"/>
        <v>-2.5400000000000098</v>
      </c>
      <c r="Q102">
        <f t="shared" si="9"/>
        <v>3.5400000000000098</v>
      </c>
      <c r="R102">
        <f t="shared" si="6"/>
        <v>3.9620011100546353E-2</v>
      </c>
      <c r="S102">
        <f t="shared" si="7"/>
        <v>2.1460719074437466E-2</v>
      </c>
    </row>
    <row r="103" spans="1:19" x14ac:dyDescent="0.15">
      <c r="A103" s="4">
        <v>26299</v>
      </c>
      <c r="B103">
        <v>1.0200000000000001E-2</v>
      </c>
      <c r="C103">
        <v>3.3099999999999997E-2</v>
      </c>
      <c r="D103">
        <v>3.7000000000000002E-3</v>
      </c>
      <c r="E103">
        <v>4.8399999999999999E-2</v>
      </c>
      <c r="F103">
        <v>8.9999999999999998E-4</v>
      </c>
      <c r="G103">
        <v>7.4499999999999997E-2</v>
      </c>
      <c r="H103">
        <v>2.2800000000000001E-2</v>
      </c>
      <c r="P103">
        <f t="shared" si="8"/>
        <v>-2.53000000000001</v>
      </c>
      <c r="Q103">
        <f t="shared" si="9"/>
        <v>3.53000000000001</v>
      </c>
      <c r="R103">
        <f t="shared" si="6"/>
        <v>3.9541743829920824E-2</v>
      </c>
      <c r="S103">
        <f t="shared" si="7"/>
        <v>2.134716132215355E-2</v>
      </c>
    </row>
    <row r="104" spans="1:19" x14ac:dyDescent="0.15">
      <c r="A104" s="4">
        <v>26330</v>
      </c>
      <c r="B104">
        <v>4.5100000000000001E-2</v>
      </c>
      <c r="C104">
        <v>6.4600000000000005E-2</v>
      </c>
      <c r="D104">
        <v>2.3E-2</v>
      </c>
      <c r="E104">
        <v>8.1199999999999994E-2</v>
      </c>
      <c r="F104">
        <v>-2.2700000000000001E-2</v>
      </c>
      <c r="G104">
        <v>5.4600000000000003E-2</v>
      </c>
      <c r="H104">
        <v>9.4000000000000004E-3</v>
      </c>
      <c r="P104">
        <f t="shared" si="8"/>
        <v>-2.5200000000000102</v>
      </c>
      <c r="Q104">
        <f t="shared" si="9"/>
        <v>3.5200000000000102</v>
      </c>
      <c r="R104">
        <f t="shared" si="6"/>
        <v>3.9463476559295309E-2</v>
      </c>
      <c r="S104">
        <f t="shared" si="7"/>
        <v>2.1233924808207065E-2</v>
      </c>
    </row>
    <row r="105" spans="1:19" x14ac:dyDescent="0.15">
      <c r="A105" s="4">
        <v>26359</v>
      </c>
      <c r="B105">
        <v>-5.0000000000000001E-4</v>
      </c>
      <c r="C105">
        <v>1.0699999999999999E-2</v>
      </c>
      <c r="D105">
        <v>-5.4300000000000001E-2</v>
      </c>
      <c r="E105">
        <v>5.6899999999999999E-2</v>
      </c>
      <c r="F105">
        <v>1E-3</v>
      </c>
      <c r="G105">
        <v>1.29E-2</v>
      </c>
      <c r="H105">
        <v>3.7900000000000003E-2</v>
      </c>
      <c r="P105">
        <f t="shared" si="8"/>
        <v>-2.5100000000000104</v>
      </c>
      <c r="Q105">
        <f t="shared" si="9"/>
        <v>3.5100000000000104</v>
      </c>
      <c r="R105">
        <f t="shared" si="6"/>
        <v>3.938520928866978E-2</v>
      </c>
      <c r="S105">
        <f t="shared" si="7"/>
        <v>2.1121009532598017E-2</v>
      </c>
    </row>
    <row r="106" spans="1:19" x14ac:dyDescent="0.15">
      <c r="A106" s="4">
        <v>26390</v>
      </c>
      <c r="B106">
        <v>2.6700000000000002E-2</v>
      </c>
      <c r="C106">
        <v>1.38E-2</v>
      </c>
      <c r="D106">
        <v>-8.0999999999999996E-3</v>
      </c>
      <c r="E106">
        <v>1.84E-2</v>
      </c>
      <c r="F106">
        <v>-2.53E-2</v>
      </c>
      <c r="G106">
        <v>9.7999999999999997E-3</v>
      </c>
      <c r="H106">
        <v>1.7299999999999999E-2</v>
      </c>
      <c r="P106">
        <f t="shared" si="8"/>
        <v>-2.5000000000000107</v>
      </c>
      <c r="Q106">
        <f t="shared" si="9"/>
        <v>3.5000000000000107</v>
      </c>
      <c r="R106">
        <f t="shared" si="6"/>
        <v>3.9306942018044244E-2</v>
      </c>
      <c r="S106">
        <f t="shared" si="7"/>
        <v>2.1008415495326418E-2</v>
      </c>
    </row>
    <row r="107" spans="1:19" x14ac:dyDescent="0.15">
      <c r="A107" s="4">
        <v>26420</v>
      </c>
      <c r="B107">
        <v>1.23E-2</v>
      </c>
      <c r="C107">
        <v>3.49E-2</v>
      </c>
      <c r="D107">
        <v>5.5500000000000001E-2</v>
      </c>
      <c r="E107">
        <v>5.2299999999999999E-2</v>
      </c>
      <c r="F107">
        <v>-1.1999999999999999E-3</v>
      </c>
      <c r="G107">
        <v>2.3E-2</v>
      </c>
      <c r="H107">
        <v>1.12E-2</v>
      </c>
      <c r="P107">
        <f t="shared" si="8"/>
        <v>-2.4900000000000109</v>
      </c>
      <c r="Q107">
        <f t="shared" si="9"/>
        <v>3.4900000000000109</v>
      </c>
      <c r="R107">
        <f t="shared" si="6"/>
        <v>3.9228674747418715E-2</v>
      </c>
      <c r="S107">
        <f t="shared" si="7"/>
        <v>2.0896142696392245E-2</v>
      </c>
    </row>
    <row r="108" spans="1:19" x14ac:dyDescent="0.15">
      <c r="A108" s="4">
        <v>26451</v>
      </c>
      <c r="B108">
        <v>-1.5E-3</v>
      </c>
      <c r="C108">
        <v>-3.0000000000000001E-3</v>
      </c>
      <c r="D108">
        <v>-1.1999999999999999E-3</v>
      </c>
      <c r="E108">
        <v>1.6400000000000001E-2</v>
      </c>
      <c r="F108">
        <v>-1.2999999999999999E-2</v>
      </c>
      <c r="G108">
        <v>-4.48E-2</v>
      </c>
      <c r="H108">
        <v>-3.4700000000000002E-2</v>
      </c>
      <c r="P108">
        <f t="shared" si="8"/>
        <v>-2.4800000000000111</v>
      </c>
      <c r="Q108">
        <f t="shared" si="9"/>
        <v>3.4800000000000111</v>
      </c>
      <c r="R108">
        <f t="shared" si="6"/>
        <v>3.9150407476793186E-2</v>
      </c>
      <c r="S108">
        <f t="shared" si="7"/>
        <v>2.0784191135795514E-2</v>
      </c>
    </row>
    <row r="109" spans="1:19" x14ac:dyDescent="0.15">
      <c r="A109" s="4">
        <v>26481</v>
      </c>
      <c r="B109">
        <v>1.18E-2</v>
      </c>
      <c r="C109">
        <v>2.93E-2</v>
      </c>
      <c r="D109">
        <v>-1.04E-2</v>
      </c>
      <c r="E109">
        <v>1.21E-2</v>
      </c>
      <c r="F109">
        <v>5.9999999999999995E-4</v>
      </c>
      <c r="G109">
        <v>-4.1700000000000001E-2</v>
      </c>
      <c r="H109">
        <v>1.21E-2</v>
      </c>
      <c r="P109">
        <f t="shared" si="8"/>
        <v>-2.4700000000000113</v>
      </c>
      <c r="Q109">
        <f t="shared" si="9"/>
        <v>3.4700000000000113</v>
      </c>
      <c r="R109">
        <f t="shared" si="6"/>
        <v>3.9072140206167658E-2</v>
      </c>
      <c r="S109">
        <f t="shared" si="7"/>
        <v>2.0672560813536221E-2</v>
      </c>
    </row>
    <row r="110" spans="1:19" x14ac:dyDescent="0.15">
      <c r="A110" s="4">
        <v>26512</v>
      </c>
      <c r="B110">
        <v>1.84E-2</v>
      </c>
      <c r="C110">
        <v>3.27E-2</v>
      </c>
      <c r="D110">
        <v>0.12839999999999999</v>
      </c>
      <c r="E110">
        <v>-2.4199999999999999E-2</v>
      </c>
      <c r="F110">
        <v>6.1499999999999999E-2</v>
      </c>
      <c r="G110">
        <v>1.01E-2</v>
      </c>
      <c r="H110">
        <v>4.8599999999999997E-2</v>
      </c>
      <c r="P110">
        <f t="shared" si="8"/>
        <v>-2.4600000000000115</v>
      </c>
      <c r="Q110">
        <f t="shared" si="9"/>
        <v>3.4600000000000115</v>
      </c>
      <c r="R110">
        <f t="shared" si="6"/>
        <v>3.8993872935542129E-2</v>
      </c>
      <c r="S110">
        <f t="shared" si="7"/>
        <v>2.0561251729614351E-2</v>
      </c>
    </row>
    <row r="111" spans="1:19" x14ac:dyDescent="0.15">
      <c r="A111" s="4">
        <v>26543</v>
      </c>
      <c r="B111">
        <v>-1.03E-2</v>
      </c>
      <c r="C111">
        <v>-1.24E-2</v>
      </c>
      <c r="D111">
        <v>6.4999999999999997E-3</v>
      </c>
      <c r="E111">
        <v>1.7999999999999999E-2</v>
      </c>
      <c r="F111">
        <v>2.2000000000000001E-3</v>
      </c>
      <c r="G111">
        <v>-2.9499999999999998E-2</v>
      </c>
      <c r="H111">
        <v>-1.9E-3</v>
      </c>
      <c r="P111">
        <f t="shared" si="8"/>
        <v>-2.4500000000000117</v>
      </c>
      <c r="Q111">
        <f t="shared" si="9"/>
        <v>3.4500000000000117</v>
      </c>
      <c r="R111">
        <f t="shared" si="6"/>
        <v>3.89156056649166E-2</v>
      </c>
      <c r="S111">
        <f t="shared" si="7"/>
        <v>2.0450263884029932E-2</v>
      </c>
    </row>
    <row r="112" spans="1:19" x14ac:dyDescent="0.15">
      <c r="A112" s="4">
        <v>26573</v>
      </c>
      <c r="B112">
        <v>1.5299999999999999E-2</v>
      </c>
      <c r="C112">
        <v>2.2599999999999999E-2</v>
      </c>
      <c r="D112">
        <v>2.9399999999999999E-2</v>
      </c>
      <c r="E112">
        <v>1.3599999999999999E-2</v>
      </c>
      <c r="F112">
        <v>6.7500000000000004E-2</v>
      </c>
      <c r="G112">
        <v>-3.0999999999999999E-3</v>
      </c>
      <c r="H112">
        <v>2.1999999999999999E-2</v>
      </c>
      <c r="P112">
        <f t="shared" si="8"/>
        <v>-2.4400000000000119</v>
      </c>
      <c r="Q112">
        <f t="shared" si="9"/>
        <v>3.4400000000000119</v>
      </c>
      <c r="R112">
        <f t="shared" si="6"/>
        <v>3.8837338394291071E-2</v>
      </c>
      <c r="S112">
        <f t="shared" si="7"/>
        <v>2.0339597276782945E-2</v>
      </c>
    </row>
    <row r="113" spans="1:19" x14ac:dyDescent="0.15">
      <c r="A113" s="4">
        <v>26604</v>
      </c>
      <c r="B113">
        <v>6.1800000000000001E-2</v>
      </c>
      <c r="C113">
        <v>2.4799999999999999E-2</v>
      </c>
      <c r="D113">
        <v>7.3800000000000004E-2</v>
      </c>
      <c r="E113">
        <v>-8.5000000000000006E-3</v>
      </c>
      <c r="F113">
        <v>6.6000000000000003E-2</v>
      </c>
      <c r="G113">
        <v>8.6199999999999999E-2</v>
      </c>
      <c r="H113">
        <v>5.3400000000000003E-2</v>
      </c>
      <c r="P113">
        <f t="shared" si="8"/>
        <v>-2.4300000000000122</v>
      </c>
      <c r="Q113">
        <f t="shared" si="9"/>
        <v>3.4300000000000122</v>
      </c>
      <c r="R113">
        <f t="shared" si="6"/>
        <v>3.8759071123665542E-2</v>
      </c>
      <c r="S113">
        <f t="shared" si="7"/>
        <v>2.0229251907873391E-2</v>
      </c>
    </row>
    <row r="114" spans="1:19" x14ac:dyDescent="0.15">
      <c r="A114" s="4">
        <v>26634</v>
      </c>
      <c r="B114">
        <v>2.1999999999999999E-2</v>
      </c>
      <c r="C114">
        <v>3.3399999999999999E-2</v>
      </c>
      <c r="D114">
        <v>1.8599999999999998E-2</v>
      </c>
      <c r="E114">
        <v>4.36E-2</v>
      </c>
      <c r="F114">
        <v>-1.2800000000000001E-2</v>
      </c>
      <c r="G114">
        <v>3.4299999999999997E-2</v>
      </c>
      <c r="H114">
        <v>-3.2000000000000002E-3</v>
      </c>
      <c r="P114">
        <f t="shared" si="8"/>
        <v>-2.4200000000000124</v>
      </c>
      <c r="Q114">
        <f t="shared" si="9"/>
        <v>3.4200000000000124</v>
      </c>
      <c r="R114">
        <f t="shared" si="6"/>
        <v>3.8680803853040013E-2</v>
      </c>
      <c r="S114">
        <f t="shared" si="7"/>
        <v>2.0119227777301282E-2</v>
      </c>
    </row>
    <row r="115" spans="1:19" x14ac:dyDescent="0.15">
      <c r="A115" s="4">
        <v>26665</v>
      </c>
      <c r="B115">
        <v>-3.3500000000000002E-2</v>
      </c>
      <c r="C115">
        <v>-1.15E-2</v>
      </c>
      <c r="D115">
        <v>5.5100000000000003E-2</v>
      </c>
      <c r="E115">
        <v>-4.8500000000000001E-2</v>
      </c>
      <c r="F115">
        <v>-3.4200000000000001E-2</v>
      </c>
      <c r="G115">
        <v>-5.4300000000000001E-2</v>
      </c>
      <c r="H115">
        <v>-4.6699999999999998E-2</v>
      </c>
      <c r="P115">
        <f t="shared" si="8"/>
        <v>-2.4100000000000126</v>
      </c>
      <c r="Q115">
        <f t="shared" si="9"/>
        <v>3.4100000000000126</v>
      </c>
      <c r="R115">
        <f t="shared" si="6"/>
        <v>3.8602536582414484E-2</v>
      </c>
      <c r="S115">
        <f t="shared" si="7"/>
        <v>2.0009524885066608E-2</v>
      </c>
    </row>
    <row r="116" spans="1:19" x14ac:dyDescent="0.15">
      <c r="A116" s="4">
        <v>26696</v>
      </c>
      <c r="B116">
        <v>-2.3699999999999999E-2</v>
      </c>
      <c r="C116">
        <v>-4.0000000000000002E-4</v>
      </c>
      <c r="D116">
        <v>-7.5300000000000006E-2</v>
      </c>
      <c r="E116">
        <v>-4.0000000000000001E-3</v>
      </c>
      <c r="F116">
        <v>-1.7999999999999999E-2</v>
      </c>
      <c r="G116">
        <v>-8.3500000000000005E-2</v>
      </c>
      <c r="H116">
        <v>-3.4000000000000002E-2</v>
      </c>
      <c r="P116">
        <f t="shared" si="8"/>
        <v>-2.4000000000000128</v>
      </c>
      <c r="Q116">
        <f t="shared" si="9"/>
        <v>3.4000000000000128</v>
      </c>
      <c r="R116">
        <f t="shared" si="6"/>
        <v>3.8524269311788956E-2</v>
      </c>
      <c r="S116">
        <f t="shared" si="7"/>
        <v>1.9900143231169367E-2</v>
      </c>
    </row>
    <row r="117" spans="1:19" x14ac:dyDescent="0.15">
      <c r="A117" s="4">
        <v>26724</v>
      </c>
      <c r="B117">
        <v>-4.3E-3</v>
      </c>
      <c r="C117">
        <v>8.0000000000000002E-3</v>
      </c>
      <c r="D117">
        <v>4.0399999999999998E-2</v>
      </c>
      <c r="E117">
        <v>-8.8000000000000005E-3</v>
      </c>
      <c r="F117">
        <v>-1.8499999999999999E-2</v>
      </c>
      <c r="G117">
        <v>-3.1800000000000002E-2</v>
      </c>
      <c r="H117">
        <v>4.1999999999999997E-3</v>
      </c>
      <c r="P117">
        <f t="shared" si="8"/>
        <v>-2.390000000000013</v>
      </c>
      <c r="Q117">
        <f t="shared" si="9"/>
        <v>3.390000000000013</v>
      </c>
      <c r="R117">
        <f t="shared" si="6"/>
        <v>3.8446002041163427E-2</v>
      </c>
      <c r="S117">
        <f t="shared" si="7"/>
        <v>1.9791082815609568E-2</v>
      </c>
    </row>
    <row r="118" spans="1:19" x14ac:dyDescent="0.15">
      <c r="A118" s="4">
        <v>26755</v>
      </c>
      <c r="B118">
        <v>-0.04</v>
      </c>
      <c r="C118">
        <v>-4.2500000000000003E-2</v>
      </c>
      <c r="D118">
        <v>-1.6000000000000001E-3</v>
      </c>
      <c r="E118">
        <v>-5.6399999999999999E-2</v>
      </c>
      <c r="F118">
        <v>-9.7999999999999997E-3</v>
      </c>
      <c r="G118">
        <v>-0.1045</v>
      </c>
      <c r="H118">
        <v>-5.45E-2</v>
      </c>
      <c r="P118">
        <f t="shared" si="8"/>
        <v>-2.3800000000000132</v>
      </c>
      <c r="Q118">
        <f t="shared" si="9"/>
        <v>3.3800000000000132</v>
      </c>
      <c r="R118">
        <f t="shared" si="6"/>
        <v>3.8367734770537912E-2</v>
      </c>
      <c r="S118">
        <f t="shared" si="7"/>
        <v>1.9682343638387195E-2</v>
      </c>
    </row>
    <row r="119" spans="1:19" x14ac:dyDescent="0.15">
      <c r="A119" s="4">
        <v>26785</v>
      </c>
      <c r="B119">
        <v>-1.09E-2</v>
      </c>
      <c r="C119">
        <v>7.3000000000000001E-3</v>
      </c>
      <c r="D119">
        <v>-2.8000000000000001E-2</v>
      </c>
      <c r="E119">
        <v>-4.7999999999999996E-3</v>
      </c>
      <c r="F119">
        <v>1.5E-3</v>
      </c>
      <c r="G119">
        <v>-4.36E-2</v>
      </c>
      <c r="H119">
        <v>-2.4500000000000001E-2</v>
      </c>
      <c r="P119">
        <f t="shared" si="8"/>
        <v>-2.3700000000000134</v>
      </c>
      <c r="Q119">
        <f t="shared" si="9"/>
        <v>3.3700000000000134</v>
      </c>
      <c r="R119">
        <f t="shared" si="6"/>
        <v>3.8289467499912383E-2</v>
      </c>
      <c r="S119">
        <f t="shared" si="7"/>
        <v>1.9573925699502268E-2</v>
      </c>
    </row>
    <row r="120" spans="1:19" x14ac:dyDescent="0.15">
      <c r="A120" s="4">
        <v>26816</v>
      </c>
      <c r="B120">
        <v>-2.3400000000000001E-2</v>
      </c>
      <c r="C120">
        <v>7.1999999999999998E-3</v>
      </c>
      <c r="D120">
        <v>2.41E-2</v>
      </c>
      <c r="E120">
        <v>1.26E-2</v>
      </c>
      <c r="F120">
        <v>-1.9E-2</v>
      </c>
      <c r="G120">
        <v>-5.3699999999999998E-2</v>
      </c>
      <c r="H120">
        <v>1.5100000000000001E-2</v>
      </c>
      <c r="P120">
        <f t="shared" si="8"/>
        <v>-2.3600000000000136</v>
      </c>
      <c r="Q120">
        <f t="shared" si="9"/>
        <v>3.3600000000000136</v>
      </c>
      <c r="R120">
        <f t="shared" si="6"/>
        <v>3.8211200229286847E-2</v>
      </c>
      <c r="S120">
        <f t="shared" si="7"/>
        <v>1.9465828998954774E-2</v>
      </c>
    </row>
    <row r="121" spans="1:19" x14ac:dyDescent="0.15">
      <c r="A121" s="4">
        <v>26846</v>
      </c>
      <c r="B121">
        <v>6.0499999999999998E-2</v>
      </c>
      <c r="C121">
        <v>6.7100000000000007E-2</v>
      </c>
      <c r="D121">
        <v>-6.1000000000000004E-3</v>
      </c>
      <c r="E121">
        <v>5.16E-2</v>
      </c>
      <c r="F121">
        <v>-2.0899999999999998E-2</v>
      </c>
      <c r="G121">
        <v>0.1636</v>
      </c>
      <c r="H121">
        <v>7.2599999999999998E-2</v>
      </c>
      <c r="P121">
        <f t="shared" si="8"/>
        <v>-2.3500000000000139</v>
      </c>
      <c r="Q121">
        <f t="shared" si="9"/>
        <v>3.3500000000000139</v>
      </c>
      <c r="R121">
        <f t="shared" ref="R121:R184" si="10">P121*$L$55+Q121*$N$55</f>
        <v>3.8132932958661318E-2</v>
      </c>
      <c r="S121">
        <f t="shared" ref="S121:S184" si="11">P121^2*$L$56+Q121^2*$N$56+2*P121*Q121*$L$60</f>
        <v>1.9358053536744718E-2</v>
      </c>
    </row>
    <row r="122" spans="1:19" x14ac:dyDescent="0.15">
      <c r="A122" s="4">
        <v>26877</v>
      </c>
      <c r="B122">
        <v>-1.6299999999999999E-2</v>
      </c>
      <c r="C122">
        <v>-5.45E-2</v>
      </c>
      <c r="D122">
        <v>-2.4899999999999999E-2</v>
      </c>
      <c r="E122">
        <v>-2.1299999999999999E-2</v>
      </c>
      <c r="F122">
        <v>-2.24E-2</v>
      </c>
      <c r="G122">
        <v>-2.2200000000000001E-2</v>
      </c>
      <c r="H122">
        <v>-2.3400000000000001E-2</v>
      </c>
      <c r="P122">
        <f t="shared" ref="P122:P185" si="12">P121+0.01</f>
        <v>-2.3400000000000141</v>
      </c>
      <c r="Q122">
        <f t="shared" ref="Q122:Q185" si="13">1-P122</f>
        <v>3.3400000000000141</v>
      </c>
      <c r="R122">
        <f t="shared" si="10"/>
        <v>3.8054665688035789E-2</v>
      </c>
      <c r="S122">
        <f t="shared" si="11"/>
        <v>1.9250599312872096E-2</v>
      </c>
    </row>
    <row r="123" spans="1:19" x14ac:dyDescent="0.15">
      <c r="A123" s="4">
        <v>26908</v>
      </c>
      <c r="B123">
        <v>6.2399999999999997E-2</v>
      </c>
      <c r="C123">
        <v>3.39E-2</v>
      </c>
      <c r="D123">
        <v>8.2299999999999998E-2</v>
      </c>
      <c r="E123">
        <v>-1.1900000000000001E-2</v>
      </c>
      <c r="F123">
        <v>7.9399999999999998E-2</v>
      </c>
      <c r="G123">
        <v>9.9400000000000002E-2</v>
      </c>
      <c r="H123">
        <v>6.5600000000000006E-2</v>
      </c>
      <c r="P123">
        <f t="shared" si="12"/>
        <v>-2.3300000000000143</v>
      </c>
      <c r="Q123">
        <f t="shared" si="13"/>
        <v>3.3300000000000143</v>
      </c>
      <c r="R123">
        <f t="shared" si="10"/>
        <v>3.7976398417410261E-2</v>
      </c>
      <c r="S123">
        <f t="shared" si="11"/>
        <v>1.9143466327336923E-2</v>
      </c>
    </row>
    <row r="124" spans="1:19" x14ac:dyDescent="0.15">
      <c r="A124" s="4">
        <v>26938</v>
      </c>
      <c r="B124">
        <v>-8.2000000000000007E-3</v>
      </c>
      <c r="C124">
        <v>1.7899999999999999E-2</v>
      </c>
      <c r="D124">
        <v>4.3799999999999999E-2</v>
      </c>
      <c r="E124">
        <v>1.0999999999999999E-2</v>
      </c>
      <c r="F124">
        <v>-3.0700000000000002E-2</v>
      </c>
      <c r="G124">
        <v>-8.3000000000000001E-3</v>
      </c>
      <c r="H124">
        <v>-9.4000000000000004E-3</v>
      </c>
      <c r="P124">
        <f t="shared" si="12"/>
        <v>-2.3200000000000145</v>
      </c>
      <c r="Q124">
        <f t="shared" si="13"/>
        <v>3.3200000000000145</v>
      </c>
      <c r="R124">
        <f t="shared" si="10"/>
        <v>3.7898131146784732E-2</v>
      </c>
      <c r="S124">
        <f t="shared" si="11"/>
        <v>1.903665458013918E-2</v>
      </c>
    </row>
    <row r="125" spans="1:19" x14ac:dyDescent="0.15">
      <c r="A125" s="4">
        <v>26969</v>
      </c>
      <c r="B125">
        <v>-0.1207</v>
      </c>
      <c r="C125">
        <v>-0.109</v>
      </c>
      <c r="D125">
        <v>-6.4399999999999999E-2</v>
      </c>
      <c r="E125">
        <v>-0.1384</v>
      </c>
      <c r="F125">
        <v>-0.10920000000000001</v>
      </c>
      <c r="G125">
        <v>-0.1925</v>
      </c>
      <c r="H125">
        <v>-0.1226</v>
      </c>
      <c r="P125">
        <f t="shared" si="12"/>
        <v>-2.3100000000000147</v>
      </c>
      <c r="Q125">
        <f t="shared" si="13"/>
        <v>3.3100000000000147</v>
      </c>
      <c r="R125">
        <f t="shared" si="10"/>
        <v>3.7819863876159196E-2</v>
      </c>
      <c r="S125">
        <f t="shared" si="11"/>
        <v>1.8930164071278868E-2</v>
      </c>
    </row>
    <row r="126" spans="1:19" x14ac:dyDescent="0.15">
      <c r="A126" s="4">
        <v>26999</v>
      </c>
      <c r="B126">
        <v>-3.7000000000000002E-3</v>
      </c>
      <c r="C126">
        <v>-1.6299999999999999E-2</v>
      </c>
      <c r="D126">
        <v>9.3200000000000005E-2</v>
      </c>
      <c r="E126">
        <v>-1.0999999999999999E-2</v>
      </c>
      <c r="F126">
        <v>3.4299999999999997E-2</v>
      </c>
      <c r="G126">
        <v>1.2999999999999999E-3</v>
      </c>
      <c r="H126">
        <v>2.3599999999999999E-2</v>
      </c>
      <c r="P126">
        <f t="shared" si="12"/>
        <v>-2.3000000000000149</v>
      </c>
      <c r="Q126">
        <f t="shared" si="13"/>
        <v>3.3000000000000149</v>
      </c>
      <c r="R126">
        <f t="shared" si="10"/>
        <v>3.7741596605533667E-2</v>
      </c>
      <c r="S126">
        <f t="shared" si="11"/>
        <v>1.8823994800755993E-2</v>
      </c>
    </row>
    <row r="127" spans="1:19" x14ac:dyDescent="0.15">
      <c r="A127" s="4">
        <v>27030</v>
      </c>
      <c r="B127">
        <v>2.0299999999999999E-2</v>
      </c>
      <c r="C127">
        <v>-3.3E-3</v>
      </c>
      <c r="D127">
        <v>-6.8199999999999997E-2</v>
      </c>
      <c r="E127">
        <v>-1.1000000000000001E-3</v>
      </c>
      <c r="F127">
        <v>4.5900000000000003E-2</v>
      </c>
      <c r="G127">
        <v>5.8099999999999999E-2</v>
      </c>
      <c r="H127">
        <v>2.93E-2</v>
      </c>
      <c r="P127">
        <f t="shared" si="12"/>
        <v>-2.2900000000000151</v>
      </c>
      <c r="Q127">
        <f t="shared" si="13"/>
        <v>3.2900000000000151</v>
      </c>
      <c r="R127">
        <f t="shared" si="10"/>
        <v>3.7663329334908138E-2</v>
      </c>
      <c r="S127">
        <f t="shared" si="11"/>
        <v>1.8718146768570559E-2</v>
      </c>
    </row>
    <row r="128" spans="1:19" x14ac:dyDescent="0.15">
      <c r="A128" s="4">
        <v>27061</v>
      </c>
      <c r="B128">
        <v>9.7999999999999997E-3</v>
      </c>
      <c r="C128">
        <v>8.0000000000000004E-4</v>
      </c>
      <c r="D128">
        <v>-1.3299999999999999E-2</v>
      </c>
      <c r="E128">
        <v>-2.3300000000000001E-2</v>
      </c>
      <c r="F128">
        <v>5.1999999999999998E-3</v>
      </c>
      <c r="G128">
        <v>6.4999999999999997E-3</v>
      </c>
      <c r="H128">
        <v>1.0999999999999999E-2</v>
      </c>
      <c r="P128">
        <f t="shared" si="12"/>
        <v>-2.2800000000000153</v>
      </c>
      <c r="Q128">
        <f t="shared" si="13"/>
        <v>3.2800000000000153</v>
      </c>
      <c r="R128">
        <f t="shared" si="10"/>
        <v>3.7585062064282609E-2</v>
      </c>
      <c r="S128">
        <f t="shared" si="11"/>
        <v>1.8612619974722567E-2</v>
      </c>
    </row>
    <row r="129" spans="1:19" x14ac:dyDescent="0.15">
      <c r="A129" s="4">
        <v>27089</v>
      </c>
      <c r="B129">
        <v>-2.3900000000000001E-2</v>
      </c>
      <c r="C129">
        <v>1.21E-2</v>
      </c>
      <c r="D129">
        <v>-2.35E-2</v>
      </c>
      <c r="E129">
        <v>1.5900000000000001E-2</v>
      </c>
      <c r="F129">
        <v>-3.1399999999999997E-2</v>
      </c>
      <c r="G129">
        <v>2.5999999999999999E-2</v>
      </c>
      <c r="H129">
        <v>-3.0300000000000001E-2</v>
      </c>
      <c r="P129">
        <f t="shared" si="12"/>
        <v>-2.2700000000000156</v>
      </c>
      <c r="Q129">
        <f t="shared" si="13"/>
        <v>3.2700000000000156</v>
      </c>
      <c r="R129">
        <f t="shared" si="10"/>
        <v>3.7506794793657081E-2</v>
      </c>
      <c r="S129">
        <f t="shared" si="11"/>
        <v>1.8507414419212005E-2</v>
      </c>
    </row>
    <row r="130" spans="1:19" x14ac:dyDescent="0.15">
      <c r="A130" s="4">
        <v>27120</v>
      </c>
      <c r="B130">
        <v>-2.81E-2</v>
      </c>
      <c r="C130">
        <v>3.0999999999999999E-3</v>
      </c>
      <c r="D130">
        <v>-5.7000000000000002E-2</v>
      </c>
      <c r="E130">
        <v>-4.2200000000000001E-2</v>
      </c>
      <c r="F130">
        <v>-0.1085</v>
      </c>
      <c r="G130">
        <v>-1.9900000000000001E-2</v>
      </c>
      <c r="H130">
        <v>-5.0099999999999999E-2</v>
      </c>
      <c r="P130">
        <f t="shared" si="12"/>
        <v>-2.2600000000000158</v>
      </c>
      <c r="Q130">
        <f t="shared" si="13"/>
        <v>3.2600000000000158</v>
      </c>
      <c r="R130">
        <f t="shared" si="10"/>
        <v>3.7428527523031552E-2</v>
      </c>
      <c r="S130">
        <f t="shared" si="11"/>
        <v>1.8402530102038881E-2</v>
      </c>
    </row>
    <row r="131" spans="1:19" x14ac:dyDescent="0.15">
      <c r="A131" s="4">
        <v>27150</v>
      </c>
      <c r="B131">
        <v>-3.2500000000000001E-2</v>
      </c>
      <c r="C131">
        <v>5.3E-3</v>
      </c>
      <c r="D131">
        <v>-6.9599999999999995E-2</v>
      </c>
      <c r="E131">
        <v>2.0899999999999998E-2</v>
      </c>
      <c r="F131">
        <v>-3.9399999999999998E-2</v>
      </c>
      <c r="G131">
        <v>-2.0400000000000001E-2</v>
      </c>
      <c r="H131">
        <v>-8.9700000000000002E-2</v>
      </c>
      <c r="P131">
        <f t="shared" si="12"/>
        <v>-2.250000000000016</v>
      </c>
      <c r="Q131">
        <f t="shared" si="13"/>
        <v>3.250000000000016</v>
      </c>
      <c r="R131">
        <f t="shared" si="10"/>
        <v>3.7350260252406023E-2</v>
      </c>
      <c r="S131">
        <f t="shared" si="11"/>
        <v>1.8297967023203195E-2</v>
      </c>
    </row>
    <row r="132" spans="1:19" x14ac:dyDescent="0.15">
      <c r="A132" s="4">
        <v>27181</v>
      </c>
      <c r="B132">
        <v>-3.7000000000000002E-3</v>
      </c>
      <c r="C132">
        <v>0</v>
      </c>
      <c r="D132">
        <v>-6.6E-3</v>
      </c>
      <c r="E132">
        <v>-1.5900000000000001E-2</v>
      </c>
      <c r="F132">
        <v>-5.8000000000000003E-2</v>
      </c>
      <c r="G132">
        <v>-3.3599999999999998E-2</v>
      </c>
      <c r="H132">
        <v>-5.9299999999999999E-2</v>
      </c>
      <c r="P132">
        <f t="shared" si="12"/>
        <v>-2.2400000000000162</v>
      </c>
      <c r="Q132">
        <f t="shared" si="13"/>
        <v>3.2400000000000162</v>
      </c>
      <c r="R132">
        <f t="shared" si="10"/>
        <v>3.7271992981780508E-2</v>
      </c>
      <c r="S132">
        <f t="shared" si="11"/>
        <v>1.8193725182704942E-2</v>
      </c>
    </row>
    <row r="133" spans="1:19" x14ac:dyDescent="0.15">
      <c r="A133" s="4">
        <v>27211</v>
      </c>
      <c r="B133">
        <v>-0.1186</v>
      </c>
      <c r="C133">
        <v>-9.0399999999999994E-2</v>
      </c>
      <c r="D133">
        <v>1.4200000000000001E-2</v>
      </c>
      <c r="E133">
        <v>-0.14149999999999999</v>
      </c>
      <c r="F133">
        <v>8.3999999999999995E-3</v>
      </c>
      <c r="G133">
        <v>-7.9500000000000001E-2</v>
      </c>
      <c r="H133">
        <v>-4.1200000000000001E-2</v>
      </c>
      <c r="P133">
        <f t="shared" si="12"/>
        <v>-2.2300000000000164</v>
      </c>
      <c r="Q133">
        <f t="shared" si="13"/>
        <v>3.2300000000000164</v>
      </c>
      <c r="R133">
        <f t="shared" si="10"/>
        <v>3.7193725711154979E-2</v>
      </c>
      <c r="S133">
        <f t="shared" si="11"/>
        <v>1.8089804580544131E-2</v>
      </c>
    </row>
    <row r="134" spans="1:19" x14ac:dyDescent="0.15">
      <c r="A134" s="4">
        <v>27242</v>
      </c>
      <c r="B134">
        <v>-0.1181</v>
      </c>
      <c r="C134">
        <v>-8.5800000000000001E-2</v>
      </c>
      <c r="D134">
        <v>-7.9500000000000001E-2</v>
      </c>
      <c r="E134">
        <v>-8.7999999999999995E-2</v>
      </c>
      <c r="F134">
        <v>-8.1500000000000003E-2</v>
      </c>
      <c r="G134">
        <v>-0.10639999999999999</v>
      </c>
      <c r="H134">
        <v>-0.1016</v>
      </c>
      <c r="P134">
        <f t="shared" si="12"/>
        <v>-2.2200000000000166</v>
      </c>
      <c r="Q134">
        <f t="shared" si="13"/>
        <v>3.2200000000000166</v>
      </c>
      <c r="R134">
        <f t="shared" si="10"/>
        <v>3.711545844052945E-2</v>
      </c>
      <c r="S134">
        <f t="shared" si="11"/>
        <v>1.7986205216720758E-2</v>
      </c>
    </row>
    <row r="135" spans="1:19" x14ac:dyDescent="0.15">
      <c r="A135" s="4">
        <v>27273</v>
      </c>
      <c r="B135">
        <v>-0.1167</v>
      </c>
      <c r="C135">
        <v>-0.1258</v>
      </c>
      <c r="D135">
        <v>-8.1000000000000003E-2</v>
      </c>
      <c r="E135">
        <v>-0.16550000000000001</v>
      </c>
      <c r="F135">
        <v>-7.1999999999999998E-3</v>
      </c>
      <c r="G135">
        <v>-9.9400000000000002E-2</v>
      </c>
      <c r="H135">
        <v>-5.3999999999999999E-2</v>
      </c>
      <c r="P135">
        <f t="shared" si="12"/>
        <v>-2.2100000000000168</v>
      </c>
      <c r="Q135">
        <f t="shared" si="13"/>
        <v>3.2100000000000168</v>
      </c>
      <c r="R135">
        <f t="shared" si="10"/>
        <v>3.7037191169903921E-2</v>
      </c>
      <c r="S135">
        <f t="shared" si="11"/>
        <v>1.7882927091234815E-2</v>
      </c>
    </row>
    <row r="136" spans="1:19" x14ac:dyDescent="0.15">
      <c r="A136" s="4">
        <v>27303</v>
      </c>
      <c r="B136">
        <v>0.19420000000000001</v>
      </c>
      <c r="C136">
        <v>0.25900000000000001</v>
      </c>
      <c r="D136">
        <v>0.20599999999999999</v>
      </c>
      <c r="E136">
        <v>0.1273</v>
      </c>
      <c r="F136">
        <v>0.13420000000000001</v>
      </c>
      <c r="G136">
        <v>0.17150000000000001</v>
      </c>
      <c r="H136">
        <v>0.18329999999999999</v>
      </c>
      <c r="P136">
        <f t="shared" si="12"/>
        <v>-2.2000000000000171</v>
      </c>
      <c r="Q136">
        <f t="shared" si="13"/>
        <v>3.2000000000000171</v>
      </c>
      <c r="R136">
        <f t="shared" si="10"/>
        <v>3.6958923899278392E-2</v>
      </c>
      <c r="S136">
        <f t="shared" si="11"/>
        <v>1.7779970204086316E-2</v>
      </c>
    </row>
    <row r="137" spans="1:19" x14ac:dyDescent="0.15">
      <c r="A137" s="4">
        <v>27334</v>
      </c>
      <c r="B137">
        <v>-2.75E-2</v>
      </c>
      <c r="C137">
        <v>-3.1899999999999998E-2</v>
      </c>
      <c r="D137">
        <v>-5.4199999999999998E-2</v>
      </c>
      <c r="E137">
        <v>-7.2800000000000004E-2</v>
      </c>
      <c r="F137">
        <v>2.3999999999999998E-3</v>
      </c>
      <c r="G137">
        <v>-2.6700000000000002E-2</v>
      </c>
      <c r="H137">
        <v>-1.3599999999999999E-2</v>
      </c>
      <c r="P137">
        <f t="shared" si="12"/>
        <v>-2.1900000000000173</v>
      </c>
      <c r="Q137">
        <f t="shared" si="13"/>
        <v>3.1900000000000173</v>
      </c>
      <c r="R137">
        <f t="shared" si="10"/>
        <v>3.6880656628652864E-2</v>
      </c>
      <c r="S137">
        <f t="shared" si="11"/>
        <v>1.7677334555275245E-2</v>
      </c>
    </row>
    <row r="138" spans="1:19" x14ac:dyDescent="0.15">
      <c r="A138" s="4">
        <v>27364</v>
      </c>
      <c r="B138">
        <v>5.4000000000000003E-3</v>
      </c>
      <c r="C138">
        <v>-2.5899999999999999E-2</v>
      </c>
      <c r="D138">
        <v>2.1000000000000001E-2</v>
      </c>
      <c r="E138">
        <v>-5.2400000000000002E-2</v>
      </c>
      <c r="F138">
        <v>-4.8999999999999998E-3</v>
      </c>
      <c r="G138">
        <v>-4.58E-2</v>
      </c>
      <c r="H138">
        <v>-2.1600000000000001E-2</v>
      </c>
      <c r="P138">
        <f t="shared" si="12"/>
        <v>-2.1800000000000175</v>
      </c>
      <c r="Q138">
        <f t="shared" si="13"/>
        <v>3.1800000000000175</v>
      </c>
      <c r="R138">
        <f t="shared" si="10"/>
        <v>3.6802389358027335E-2</v>
      </c>
      <c r="S138">
        <f t="shared" si="11"/>
        <v>1.7575020144801619E-2</v>
      </c>
    </row>
    <row r="139" spans="1:19" x14ac:dyDescent="0.15">
      <c r="A139" s="4">
        <v>27395</v>
      </c>
      <c r="B139">
        <v>0.21579999999999999</v>
      </c>
      <c r="C139">
        <v>7.0199999999999999E-2</v>
      </c>
      <c r="D139">
        <v>9.2200000000000004E-2</v>
      </c>
      <c r="E139">
        <v>0.18190000000000001</v>
      </c>
      <c r="F139">
        <v>0.2011</v>
      </c>
      <c r="G139">
        <v>0.2707</v>
      </c>
      <c r="H139">
        <v>0.22750000000000001</v>
      </c>
      <c r="P139">
        <f t="shared" si="12"/>
        <v>-2.1700000000000177</v>
      </c>
      <c r="Q139">
        <f t="shared" si="13"/>
        <v>3.1700000000000177</v>
      </c>
      <c r="R139">
        <f t="shared" si="10"/>
        <v>3.6724122087401799E-2</v>
      </c>
      <c r="S139">
        <f t="shared" si="11"/>
        <v>1.7473026972665423E-2</v>
      </c>
    </row>
    <row r="140" spans="1:19" x14ac:dyDescent="0.15">
      <c r="A140" s="4">
        <v>27426</v>
      </c>
      <c r="B140">
        <v>6.3600000000000004E-2</v>
      </c>
      <c r="C140">
        <v>0.1234</v>
      </c>
      <c r="D140">
        <v>2.5600000000000001E-2</v>
      </c>
      <c r="E140">
        <v>0.1598</v>
      </c>
      <c r="F140">
        <v>1.5800000000000002E-2</v>
      </c>
      <c r="G140">
        <v>0.1079</v>
      </c>
      <c r="H140">
        <v>2.93E-2</v>
      </c>
      <c r="P140">
        <f t="shared" si="12"/>
        <v>-2.1600000000000179</v>
      </c>
      <c r="Q140">
        <f t="shared" si="13"/>
        <v>3.1600000000000179</v>
      </c>
      <c r="R140">
        <f t="shared" si="10"/>
        <v>3.664585481677627E-2</v>
      </c>
      <c r="S140">
        <f t="shared" si="11"/>
        <v>1.7371355038866668E-2</v>
      </c>
    </row>
    <row r="141" spans="1:19" x14ac:dyDescent="0.15">
      <c r="A141" s="4">
        <v>27454</v>
      </c>
      <c r="B141">
        <v>5.0500000000000003E-2</v>
      </c>
      <c r="C141">
        <v>3.4500000000000003E-2</v>
      </c>
      <c r="D141">
        <v>-3.0200000000000001E-2</v>
      </c>
      <c r="E141">
        <v>4.2599999999999999E-2</v>
      </c>
      <c r="F141">
        <v>-1.18E-2</v>
      </c>
      <c r="G141">
        <v>0.10970000000000001</v>
      </c>
      <c r="H141">
        <v>1.0200000000000001E-2</v>
      </c>
      <c r="P141">
        <f t="shared" si="12"/>
        <v>-2.1500000000000181</v>
      </c>
      <c r="Q141">
        <f t="shared" si="13"/>
        <v>3.1500000000000181</v>
      </c>
      <c r="R141">
        <f t="shared" si="10"/>
        <v>3.6567587546150741E-2</v>
      </c>
      <c r="S141">
        <f t="shared" si="11"/>
        <v>1.7270004343405358E-2</v>
      </c>
    </row>
    <row r="142" spans="1:19" x14ac:dyDescent="0.15">
      <c r="A142" s="4">
        <v>27485</v>
      </c>
      <c r="B142">
        <v>1.95E-2</v>
      </c>
      <c r="C142">
        <v>7.3200000000000001E-2</v>
      </c>
      <c r="D142">
        <v>7.7700000000000005E-2</v>
      </c>
      <c r="E142">
        <v>8.9700000000000002E-2</v>
      </c>
      <c r="F142">
        <v>-1.29E-2</v>
      </c>
      <c r="G142">
        <v>8.2799999999999999E-2</v>
      </c>
      <c r="H142">
        <v>7.3000000000000001E-3</v>
      </c>
      <c r="P142">
        <f t="shared" si="12"/>
        <v>-2.1400000000000183</v>
      </c>
      <c r="Q142">
        <f t="shared" si="13"/>
        <v>3.1400000000000183</v>
      </c>
      <c r="R142">
        <f t="shared" si="10"/>
        <v>3.6489320275525219E-2</v>
      </c>
      <c r="S142">
        <f t="shared" si="11"/>
        <v>1.7168974886281475E-2</v>
      </c>
    </row>
    <row r="143" spans="1:19" x14ac:dyDescent="0.15">
      <c r="A143" s="4">
        <v>27515</v>
      </c>
      <c r="B143">
        <v>7.2400000000000006E-2</v>
      </c>
      <c r="C143">
        <v>4.4499999999999998E-2</v>
      </c>
      <c r="D143">
        <v>0.1164</v>
      </c>
      <c r="E143">
        <v>2.75E-2</v>
      </c>
      <c r="F143">
        <v>8.8300000000000003E-2</v>
      </c>
      <c r="G143">
        <v>4.36E-2</v>
      </c>
      <c r="H143">
        <v>3.0099999999999998E-2</v>
      </c>
      <c r="P143">
        <f t="shared" si="12"/>
        <v>-2.1300000000000185</v>
      </c>
      <c r="Q143">
        <f t="shared" si="13"/>
        <v>3.1300000000000185</v>
      </c>
      <c r="R143">
        <f t="shared" si="10"/>
        <v>3.6411053004899691E-2</v>
      </c>
      <c r="S143">
        <f t="shared" si="11"/>
        <v>1.7068266667495023E-2</v>
      </c>
    </row>
    <row r="144" spans="1:19" x14ac:dyDescent="0.15">
      <c r="A144" s="4">
        <v>27546</v>
      </c>
      <c r="B144">
        <v>0.05</v>
      </c>
      <c r="C144">
        <v>2.35E-2</v>
      </c>
      <c r="D144">
        <v>5.8799999999999998E-2</v>
      </c>
      <c r="E144">
        <v>1.09E-2</v>
      </c>
      <c r="F144">
        <v>0.10879999999999999</v>
      </c>
      <c r="G144">
        <v>5.8000000000000003E-2</v>
      </c>
      <c r="H144">
        <v>5.9700000000000003E-2</v>
      </c>
      <c r="P144">
        <f t="shared" si="12"/>
        <v>-2.1200000000000188</v>
      </c>
      <c r="Q144">
        <f t="shared" si="13"/>
        <v>3.1200000000000188</v>
      </c>
      <c r="R144">
        <f t="shared" si="10"/>
        <v>3.6332785734274162E-2</v>
      </c>
      <c r="S144">
        <f t="shared" si="11"/>
        <v>1.6967879687046012E-2</v>
      </c>
    </row>
    <row r="145" spans="1:19" x14ac:dyDescent="0.15">
      <c r="A145" s="4">
        <v>27576</v>
      </c>
      <c r="B145">
        <v>-4.53E-2</v>
      </c>
      <c r="C145">
        <v>-8.1199999999999994E-2</v>
      </c>
      <c r="D145">
        <v>-3.9800000000000002E-2</v>
      </c>
      <c r="E145">
        <v>-8.09E-2</v>
      </c>
      <c r="F145">
        <v>-4.4600000000000001E-2</v>
      </c>
      <c r="G145">
        <v>-3.3799999999999997E-2</v>
      </c>
      <c r="H145">
        <v>-7.1599999999999997E-2</v>
      </c>
      <c r="P145">
        <f t="shared" si="12"/>
        <v>-2.110000000000019</v>
      </c>
      <c r="Q145">
        <f t="shared" si="13"/>
        <v>3.110000000000019</v>
      </c>
      <c r="R145">
        <f t="shared" si="10"/>
        <v>3.6254518463648633E-2</v>
      </c>
      <c r="S145">
        <f t="shared" si="11"/>
        <v>1.6867813944934442E-2</v>
      </c>
    </row>
    <row r="146" spans="1:19" x14ac:dyDescent="0.15">
      <c r="A146" s="4">
        <v>27607</v>
      </c>
      <c r="B146">
        <v>-1.6199999999999999E-2</v>
      </c>
      <c r="C146">
        <v>-1.4200000000000001E-2</v>
      </c>
      <c r="D146">
        <v>-6.1000000000000004E-3</v>
      </c>
      <c r="E146">
        <v>-4.07E-2</v>
      </c>
      <c r="F146">
        <v>-1.1900000000000001E-2</v>
      </c>
      <c r="G146">
        <v>-2.7300000000000001E-2</v>
      </c>
      <c r="H146">
        <v>-3.9399999999999998E-2</v>
      </c>
      <c r="P146">
        <f t="shared" si="12"/>
        <v>-2.1000000000000192</v>
      </c>
      <c r="Q146">
        <f t="shared" si="13"/>
        <v>3.1000000000000192</v>
      </c>
      <c r="R146">
        <f t="shared" si="10"/>
        <v>3.6176251193023104E-2</v>
      </c>
      <c r="S146">
        <f t="shared" si="11"/>
        <v>1.676806944116031E-2</v>
      </c>
    </row>
    <row r="147" spans="1:19" x14ac:dyDescent="0.15">
      <c r="A147" s="4">
        <v>27638</v>
      </c>
      <c r="B147">
        <v>-2.9600000000000001E-2</v>
      </c>
      <c r="C147">
        <v>-6.2799999999999995E-2</v>
      </c>
      <c r="D147">
        <v>-7.4999999999999997E-3</v>
      </c>
      <c r="E147">
        <v>-3.27E-2</v>
      </c>
      <c r="F147">
        <v>-1.0500000000000001E-2</v>
      </c>
      <c r="G147">
        <v>-2.0899999999999998E-2</v>
      </c>
      <c r="H147">
        <v>-4.4200000000000003E-2</v>
      </c>
      <c r="P147">
        <f t="shared" si="12"/>
        <v>-2.0900000000000194</v>
      </c>
      <c r="Q147">
        <f t="shared" si="13"/>
        <v>3.0900000000000194</v>
      </c>
      <c r="R147">
        <f t="shared" si="10"/>
        <v>3.6097983922397575E-2</v>
      </c>
      <c r="S147">
        <f t="shared" si="11"/>
        <v>1.6668646175723618E-2</v>
      </c>
    </row>
    <row r="148" spans="1:19" x14ac:dyDescent="0.15">
      <c r="A148" s="4">
        <v>27668</v>
      </c>
      <c r="B148">
        <v>0.1178</v>
      </c>
      <c r="C148">
        <v>9.0899999999999995E-2</v>
      </c>
      <c r="D148">
        <v>-6.3E-3</v>
      </c>
      <c r="E148">
        <v>9.3700000000000006E-2</v>
      </c>
      <c r="F148">
        <v>6.7699999999999996E-2</v>
      </c>
      <c r="G148">
        <v>8.0799999999999997E-2</v>
      </c>
      <c r="H148">
        <v>7.5600000000000001E-2</v>
      </c>
      <c r="P148">
        <f t="shared" si="12"/>
        <v>-2.0800000000000196</v>
      </c>
      <c r="Q148">
        <f t="shared" si="13"/>
        <v>3.0800000000000196</v>
      </c>
      <c r="R148">
        <f t="shared" si="10"/>
        <v>3.6019716651772039E-2</v>
      </c>
      <c r="S148">
        <f t="shared" si="11"/>
        <v>1.6569544148624347E-2</v>
      </c>
    </row>
    <row r="149" spans="1:19" x14ac:dyDescent="0.15">
      <c r="A149" s="4">
        <v>27699</v>
      </c>
      <c r="B149">
        <v>4.2900000000000001E-2</v>
      </c>
      <c r="C149">
        <v>4.1799999999999997E-2</v>
      </c>
      <c r="D149">
        <v>-1.2500000000000001E-2</v>
      </c>
      <c r="E149">
        <v>4.7199999999999999E-2</v>
      </c>
      <c r="F149">
        <v>3.3300000000000003E-2</v>
      </c>
      <c r="G149">
        <v>5.5100000000000003E-2</v>
      </c>
      <c r="H149">
        <v>4.7100000000000003E-2</v>
      </c>
      <c r="P149">
        <f t="shared" si="12"/>
        <v>-2.0700000000000198</v>
      </c>
      <c r="Q149">
        <f t="shared" si="13"/>
        <v>3.0700000000000198</v>
      </c>
      <c r="R149">
        <f t="shared" si="10"/>
        <v>3.5941449381146517E-2</v>
      </c>
      <c r="S149">
        <f t="shared" si="11"/>
        <v>1.6470763359862525E-2</v>
      </c>
    </row>
    <row r="150" spans="1:19" x14ac:dyDescent="0.15">
      <c r="A150" s="4">
        <v>27729</v>
      </c>
      <c r="B150">
        <v>-1.6299999999999999E-2</v>
      </c>
      <c r="C150">
        <v>-3.3399999999999999E-2</v>
      </c>
      <c r="D150">
        <v>1.4E-3</v>
      </c>
      <c r="E150">
        <v>-2.2100000000000002E-2</v>
      </c>
      <c r="F150">
        <v>1.4500000000000001E-2</v>
      </c>
      <c r="G150">
        <v>1.5E-3</v>
      </c>
      <c r="H150">
        <v>8.0000000000000004E-4</v>
      </c>
      <c r="P150">
        <f t="shared" si="12"/>
        <v>-2.06000000000002</v>
      </c>
      <c r="Q150">
        <f t="shared" si="13"/>
        <v>3.06000000000002</v>
      </c>
      <c r="R150">
        <f t="shared" si="10"/>
        <v>3.5863182110520989E-2</v>
      </c>
      <c r="S150">
        <f t="shared" si="11"/>
        <v>1.6372303809438139E-2</v>
      </c>
    </row>
    <row r="151" spans="1:19" x14ac:dyDescent="0.15">
      <c r="A151" s="4">
        <v>27760</v>
      </c>
      <c r="B151">
        <v>9.1499999999999998E-2</v>
      </c>
      <c r="C151">
        <v>0.1285</v>
      </c>
      <c r="D151">
        <v>8.0600000000000005E-2</v>
      </c>
      <c r="E151">
        <v>0.12770000000000001</v>
      </c>
      <c r="F151">
        <v>8.5999999999999993E-2</v>
      </c>
      <c r="G151">
        <v>0.13</v>
      </c>
      <c r="H151">
        <v>0.1036</v>
      </c>
      <c r="P151">
        <f t="shared" si="12"/>
        <v>-2.0500000000000203</v>
      </c>
      <c r="Q151">
        <f t="shared" si="13"/>
        <v>3.0500000000000203</v>
      </c>
      <c r="R151">
        <f t="shared" si="10"/>
        <v>3.578491483989546E-2</v>
      </c>
      <c r="S151">
        <f t="shared" si="11"/>
        <v>1.6274165497351185E-2</v>
      </c>
    </row>
    <row r="152" spans="1:19" x14ac:dyDescent="0.15">
      <c r="A152" s="4">
        <v>27791</v>
      </c>
      <c r="B152">
        <v>-2.69E-2</v>
      </c>
      <c r="C152">
        <v>-1.5100000000000001E-2</v>
      </c>
      <c r="D152">
        <v>-3.3000000000000002E-2</v>
      </c>
      <c r="E152">
        <v>-3.3999999999999998E-3</v>
      </c>
      <c r="F152">
        <v>-3.0499999999999999E-2</v>
      </c>
      <c r="G152">
        <v>5.3100000000000001E-2</v>
      </c>
      <c r="H152">
        <v>-1E-3</v>
      </c>
      <c r="P152">
        <f t="shared" si="12"/>
        <v>-2.0400000000000205</v>
      </c>
      <c r="Q152">
        <f t="shared" si="13"/>
        <v>3.0400000000000205</v>
      </c>
      <c r="R152">
        <f t="shared" si="10"/>
        <v>3.5706647569269931E-2</v>
      </c>
      <c r="S152">
        <f t="shared" si="11"/>
        <v>1.6176348423601671E-2</v>
      </c>
    </row>
    <row r="153" spans="1:19" x14ac:dyDescent="0.15">
      <c r="A153" s="4">
        <v>27820</v>
      </c>
      <c r="B153">
        <v>6.7000000000000002E-3</v>
      </c>
      <c r="C153">
        <v>2.3400000000000001E-2</v>
      </c>
      <c r="D153">
        <v>7.9699999999999993E-2</v>
      </c>
      <c r="E153">
        <v>4.6199999999999998E-2</v>
      </c>
      <c r="F153">
        <v>1.4999999999999999E-2</v>
      </c>
      <c r="G153">
        <v>1.32E-2</v>
      </c>
      <c r="H153">
        <v>1.5100000000000001E-2</v>
      </c>
      <c r="P153">
        <f t="shared" si="12"/>
        <v>-2.0300000000000207</v>
      </c>
      <c r="Q153">
        <f t="shared" si="13"/>
        <v>3.0300000000000207</v>
      </c>
      <c r="R153">
        <f t="shared" si="10"/>
        <v>3.5628380298644402E-2</v>
      </c>
      <c r="S153">
        <f t="shared" si="11"/>
        <v>1.6078852588189595E-2</v>
      </c>
    </row>
    <row r="154" spans="1:19" x14ac:dyDescent="0.15">
      <c r="A154" s="4">
        <v>27851</v>
      </c>
      <c r="B154">
        <v>-1.09E-2</v>
      </c>
      <c r="C154">
        <v>-2.1499999999999998E-2</v>
      </c>
      <c r="D154">
        <v>2.1999999999999999E-2</v>
      </c>
      <c r="E154">
        <v>-5.4600000000000003E-2</v>
      </c>
      <c r="F154">
        <v>7.7000000000000002E-3</v>
      </c>
      <c r="G154">
        <v>-3.4299999999999997E-2</v>
      </c>
      <c r="H154">
        <v>-2.3900000000000001E-2</v>
      </c>
      <c r="P154">
        <f t="shared" si="12"/>
        <v>-2.0200000000000209</v>
      </c>
      <c r="Q154">
        <f t="shared" si="13"/>
        <v>3.0200000000000209</v>
      </c>
      <c r="R154">
        <f t="shared" si="10"/>
        <v>3.5550113028018873E-2</v>
      </c>
      <c r="S154">
        <f t="shared" si="11"/>
        <v>1.5981677991114954E-2</v>
      </c>
    </row>
    <row r="155" spans="1:19" x14ac:dyDescent="0.15">
      <c r="A155" s="4">
        <v>27881</v>
      </c>
      <c r="B155">
        <v>-7.4000000000000003E-3</v>
      </c>
      <c r="C155">
        <v>-2.2499999999999999E-2</v>
      </c>
      <c r="D155">
        <v>5.1200000000000002E-2</v>
      </c>
      <c r="E155">
        <v>-1.9099999999999999E-2</v>
      </c>
      <c r="F155">
        <v>-1.29E-2</v>
      </c>
      <c r="G155">
        <v>-3.3099999999999997E-2</v>
      </c>
      <c r="H155">
        <v>8.9999999999999993E-3</v>
      </c>
      <c r="P155">
        <f t="shared" si="12"/>
        <v>-2.0100000000000211</v>
      </c>
      <c r="Q155">
        <f t="shared" si="13"/>
        <v>3.0100000000000211</v>
      </c>
      <c r="R155">
        <f t="shared" si="10"/>
        <v>3.5471845757393344E-2</v>
      </c>
      <c r="S155">
        <f t="shared" si="11"/>
        <v>1.588482463237775E-2</v>
      </c>
    </row>
    <row r="156" spans="1:19" x14ac:dyDescent="0.15">
      <c r="A156" s="4">
        <v>27912</v>
      </c>
      <c r="B156">
        <v>5.6599999999999998E-2</v>
      </c>
      <c r="C156">
        <v>3.4299999999999997E-2</v>
      </c>
      <c r="D156">
        <v>4.4400000000000002E-2</v>
      </c>
      <c r="E156">
        <v>4.0599999999999997E-2</v>
      </c>
      <c r="F156">
        <v>4.36E-2</v>
      </c>
      <c r="G156">
        <v>2.9600000000000001E-2</v>
      </c>
      <c r="H156">
        <v>3.7600000000000001E-2</v>
      </c>
      <c r="P156">
        <f t="shared" si="12"/>
        <v>-2.0000000000000213</v>
      </c>
      <c r="Q156">
        <f t="shared" si="13"/>
        <v>3.0000000000000213</v>
      </c>
      <c r="R156">
        <f t="shared" si="10"/>
        <v>3.5393578486767815E-2</v>
      </c>
      <c r="S156">
        <f t="shared" si="11"/>
        <v>1.5788292511977983E-2</v>
      </c>
    </row>
    <row r="157" spans="1:19" x14ac:dyDescent="0.15">
      <c r="A157" s="4">
        <v>27942</v>
      </c>
      <c r="B157">
        <v>1.7000000000000001E-2</v>
      </c>
      <c r="C157">
        <v>-1.09E-2</v>
      </c>
      <c r="D157">
        <v>-7.1000000000000004E-3</v>
      </c>
      <c r="E157">
        <v>-1.67E-2</v>
      </c>
      <c r="F157">
        <v>2.8500000000000001E-2</v>
      </c>
      <c r="G157">
        <v>-1.37E-2</v>
      </c>
      <c r="H157">
        <v>6.8999999999999999E-3</v>
      </c>
      <c r="P157">
        <f t="shared" si="12"/>
        <v>-1.9900000000000213</v>
      </c>
      <c r="Q157">
        <f t="shared" si="13"/>
        <v>2.9900000000000215</v>
      </c>
      <c r="R157">
        <f t="shared" si="10"/>
        <v>3.5315311216142287E-2</v>
      </c>
      <c r="S157">
        <f t="shared" si="11"/>
        <v>1.5692081629915661E-2</v>
      </c>
    </row>
    <row r="158" spans="1:19" x14ac:dyDescent="0.15">
      <c r="A158" s="4">
        <v>27973</v>
      </c>
      <c r="B158">
        <v>-3.8999999999999998E-3</v>
      </c>
      <c r="C158">
        <v>-4.3E-3</v>
      </c>
      <c r="D158">
        <v>-6.4999999999999997E-3</v>
      </c>
      <c r="E158">
        <v>1.5E-3</v>
      </c>
      <c r="F158">
        <v>3.09E-2</v>
      </c>
      <c r="G158">
        <v>-1.23E-2</v>
      </c>
      <c r="H158">
        <v>2.4299999999999999E-2</v>
      </c>
      <c r="P158">
        <f t="shared" si="12"/>
        <v>-1.9800000000000213</v>
      </c>
      <c r="Q158">
        <f t="shared" si="13"/>
        <v>2.9800000000000213</v>
      </c>
      <c r="R158">
        <f t="shared" si="10"/>
        <v>3.5237043945516758E-2</v>
      </c>
      <c r="S158">
        <f t="shared" si="11"/>
        <v>1.5596191986190763E-2</v>
      </c>
    </row>
    <row r="159" spans="1:19" x14ac:dyDescent="0.15">
      <c r="A159" s="4">
        <v>28004</v>
      </c>
      <c r="B159">
        <v>4.4000000000000003E-3</v>
      </c>
      <c r="C159">
        <v>1.95E-2</v>
      </c>
      <c r="D159">
        <v>5.8700000000000002E-2</v>
      </c>
      <c r="E159">
        <v>9.7999999999999997E-3</v>
      </c>
      <c r="F159">
        <v>4.1300000000000003E-2</v>
      </c>
      <c r="G159">
        <v>1.7399999999999999E-2</v>
      </c>
      <c r="H159">
        <v>1.55E-2</v>
      </c>
      <c r="P159">
        <f t="shared" si="12"/>
        <v>-1.9700000000000213</v>
      </c>
      <c r="Q159">
        <f t="shared" si="13"/>
        <v>2.9700000000000211</v>
      </c>
      <c r="R159">
        <f t="shared" si="10"/>
        <v>3.5158776674891222E-2</v>
      </c>
      <c r="S159">
        <f t="shared" si="11"/>
        <v>1.5500623580803298E-2</v>
      </c>
    </row>
    <row r="160" spans="1:19" x14ac:dyDescent="0.15">
      <c r="A160" s="4">
        <v>28034</v>
      </c>
      <c r="B160">
        <v>-2.53E-2</v>
      </c>
      <c r="C160">
        <v>-2.8400000000000002E-2</v>
      </c>
      <c r="D160">
        <v>-2.4299999999999999E-2</v>
      </c>
      <c r="E160">
        <v>-4.4699999999999997E-2</v>
      </c>
      <c r="F160">
        <v>-7.4000000000000003E-3</v>
      </c>
      <c r="G160">
        <v>-2.0400000000000001E-2</v>
      </c>
      <c r="H160">
        <v>-2.8199999999999999E-2</v>
      </c>
      <c r="P160">
        <f t="shared" si="12"/>
        <v>-1.9600000000000213</v>
      </c>
      <c r="Q160">
        <f t="shared" si="13"/>
        <v>2.9600000000000213</v>
      </c>
      <c r="R160">
        <f t="shared" si="10"/>
        <v>3.50805094042657E-2</v>
      </c>
      <c r="S160">
        <f t="shared" si="11"/>
        <v>1.5405376413753282E-2</v>
      </c>
    </row>
    <row r="161" spans="1:19" x14ac:dyDescent="0.15">
      <c r="A161" s="4">
        <v>28065</v>
      </c>
      <c r="B161">
        <v>7.4999999999999997E-3</v>
      </c>
      <c r="C161">
        <v>-5.4699999999999999E-2</v>
      </c>
      <c r="D161">
        <v>2.9999999999999997E-4</v>
      </c>
      <c r="E161">
        <v>1.1599999999999999E-2</v>
      </c>
      <c r="F161">
        <v>3.2300000000000002E-2</v>
      </c>
      <c r="G161">
        <v>4.2900000000000001E-2</v>
      </c>
      <c r="H161">
        <v>7.3499999999999996E-2</v>
      </c>
      <c r="P161">
        <f t="shared" si="12"/>
        <v>-1.9500000000000213</v>
      </c>
      <c r="Q161">
        <f t="shared" si="13"/>
        <v>2.9500000000000215</v>
      </c>
      <c r="R161">
        <f t="shared" si="10"/>
        <v>3.5002242133640171E-2</v>
      </c>
      <c r="S161">
        <f t="shared" si="11"/>
        <v>1.53104504850407E-2</v>
      </c>
    </row>
    <row r="162" spans="1:19" x14ac:dyDescent="0.15">
      <c r="A162" s="4">
        <v>28095</v>
      </c>
      <c r="B162">
        <v>5.74E-2</v>
      </c>
      <c r="C162">
        <v>7.8600000000000003E-2</v>
      </c>
      <c r="D162">
        <v>6.9500000000000006E-2</v>
      </c>
      <c r="E162">
        <v>7.46E-2</v>
      </c>
      <c r="F162">
        <v>6.6900000000000001E-2</v>
      </c>
      <c r="G162">
        <v>7.2300000000000003E-2</v>
      </c>
      <c r="H162">
        <v>0.1706</v>
      </c>
      <c r="P162">
        <f t="shared" si="12"/>
        <v>-1.9400000000000213</v>
      </c>
      <c r="Q162">
        <f t="shared" si="13"/>
        <v>2.9400000000000213</v>
      </c>
      <c r="R162">
        <f t="shared" si="10"/>
        <v>3.4923974863014635E-2</v>
      </c>
      <c r="S162">
        <f t="shared" si="11"/>
        <v>1.5215845794665549E-2</v>
      </c>
    </row>
    <row r="163" spans="1:19" x14ac:dyDescent="0.15">
      <c r="A163" s="4">
        <v>28126</v>
      </c>
      <c r="B163">
        <v>-4.3099999999999999E-2</v>
      </c>
      <c r="C163">
        <v>-6.7199999999999996E-2</v>
      </c>
      <c r="D163">
        <v>-2.3999999999999998E-3</v>
      </c>
      <c r="E163">
        <v>-9.4299999999999995E-2</v>
      </c>
      <c r="F163">
        <v>9.5999999999999992E-3</v>
      </c>
      <c r="G163">
        <v>-3.6799999999999999E-2</v>
      </c>
      <c r="H163">
        <v>-7.3599999999999999E-2</v>
      </c>
      <c r="P163">
        <f t="shared" si="12"/>
        <v>-1.9300000000000213</v>
      </c>
      <c r="Q163">
        <f t="shared" si="13"/>
        <v>2.930000000000021</v>
      </c>
      <c r="R163">
        <f t="shared" si="10"/>
        <v>3.48457075923891E-2</v>
      </c>
      <c r="S163">
        <f t="shared" si="11"/>
        <v>1.5121562342627839E-2</v>
      </c>
    </row>
    <row r="164" spans="1:19" x14ac:dyDescent="0.15">
      <c r="A164" s="4">
        <v>28157</v>
      </c>
      <c r="B164">
        <v>-4.0000000000000001E-3</v>
      </c>
      <c r="C164">
        <v>-3.3999999999999998E-3</v>
      </c>
      <c r="D164">
        <v>-2.4899999999999999E-2</v>
      </c>
      <c r="E164">
        <v>1.5699999999999999E-2</v>
      </c>
      <c r="F164">
        <v>-2.8199999999999999E-2</v>
      </c>
      <c r="G164">
        <v>-1.8700000000000001E-2</v>
      </c>
      <c r="H164">
        <v>-1.2999999999999999E-3</v>
      </c>
      <c r="P164">
        <f t="shared" si="12"/>
        <v>-1.9200000000000212</v>
      </c>
      <c r="Q164">
        <f t="shared" si="13"/>
        <v>2.9200000000000212</v>
      </c>
      <c r="R164">
        <f t="shared" si="10"/>
        <v>3.4767440321763571E-2</v>
      </c>
      <c r="S164">
        <f t="shared" si="11"/>
        <v>1.5027600128927563E-2</v>
      </c>
    </row>
    <row r="165" spans="1:19" x14ac:dyDescent="0.15">
      <c r="A165" s="4">
        <v>28185</v>
      </c>
      <c r="B165">
        <v>-5.4999999999999997E-3</v>
      </c>
      <c r="C165">
        <v>-1.0800000000000001E-2</v>
      </c>
      <c r="D165">
        <v>-2.0899999999999998E-2</v>
      </c>
      <c r="E165">
        <v>-3.09E-2</v>
      </c>
      <c r="F165">
        <v>3.8999999999999998E-3</v>
      </c>
      <c r="G165">
        <v>-1.32E-2</v>
      </c>
      <c r="H165">
        <v>-1.7500000000000002E-2</v>
      </c>
      <c r="P165">
        <f t="shared" si="12"/>
        <v>-1.9100000000000212</v>
      </c>
      <c r="Q165">
        <f t="shared" si="13"/>
        <v>2.9100000000000215</v>
      </c>
      <c r="R165">
        <f t="shared" si="10"/>
        <v>3.4689173051138049E-2</v>
      </c>
      <c r="S165">
        <f t="shared" si="11"/>
        <v>1.4933959153564727E-2</v>
      </c>
    </row>
    <row r="166" spans="1:19" x14ac:dyDescent="0.15">
      <c r="A166" s="4">
        <v>28216</v>
      </c>
      <c r="B166">
        <v>-1E-3</v>
      </c>
      <c r="C166">
        <v>-1.8100000000000002E-2</v>
      </c>
      <c r="D166">
        <v>2.3099999999999999E-2</v>
      </c>
      <c r="E166">
        <v>-3.9699999999999999E-2</v>
      </c>
      <c r="F166">
        <v>2.3300000000000001E-2</v>
      </c>
      <c r="G166">
        <v>-1.37E-2</v>
      </c>
      <c r="H166">
        <v>4.4699999999999997E-2</v>
      </c>
      <c r="P166">
        <f t="shared" si="12"/>
        <v>-1.9000000000000212</v>
      </c>
      <c r="Q166">
        <f t="shared" si="13"/>
        <v>2.9000000000000212</v>
      </c>
      <c r="R166">
        <f t="shared" si="10"/>
        <v>3.4610905780512513E-2</v>
      </c>
      <c r="S166">
        <f t="shared" si="11"/>
        <v>1.4840639416539325E-2</v>
      </c>
    </row>
    <row r="167" spans="1:19" x14ac:dyDescent="0.15">
      <c r="A167" s="4">
        <v>28246</v>
      </c>
      <c r="B167">
        <v>-5.0000000000000001E-3</v>
      </c>
      <c r="C167">
        <v>-2.7199999999999998E-2</v>
      </c>
      <c r="D167">
        <v>-5.1999999999999998E-3</v>
      </c>
      <c r="E167">
        <v>-1.7500000000000002E-2</v>
      </c>
      <c r="F167">
        <v>1.7999999999999999E-2</v>
      </c>
      <c r="G167">
        <v>1.6000000000000001E-3</v>
      </c>
      <c r="H167">
        <v>2.9999999999999997E-4</v>
      </c>
      <c r="P167">
        <f t="shared" si="12"/>
        <v>-1.8900000000000212</v>
      </c>
      <c r="Q167">
        <f t="shared" si="13"/>
        <v>2.890000000000021</v>
      </c>
      <c r="R167">
        <f t="shared" si="10"/>
        <v>3.4532638509886984E-2</v>
      </c>
      <c r="S167">
        <f t="shared" si="11"/>
        <v>1.4747640917851357E-2</v>
      </c>
    </row>
    <row r="168" spans="1:19" x14ac:dyDescent="0.15">
      <c r="A168" s="4">
        <v>28277</v>
      </c>
      <c r="B168">
        <v>4.2900000000000001E-2</v>
      </c>
      <c r="C168">
        <v>0.05</v>
      </c>
      <c r="D168">
        <v>5.3699999999999998E-2</v>
      </c>
      <c r="E168">
        <v>8.0699999999999994E-2</v>
      </c>
      <c r="F168">
        <v>5.5899999999999998E-2</v>
      </c>
      <c r="G168">
        <v>6.3E-2</v>
      </c>
      <c r="H168">
        <v>4.4699999999999997E-2</v>
      </c>
      <c r="P168">
        <f t="shared" si="12"/>
        <v>-1.8800000000000212</v>
      </c>
      <c r="Q168">
        <f t="shared" si="13"/>
        <v>2.8800000000000212</v>
      </c>
      <c r="R168">
        <f t="shared" si="10"/>
        <v>3.4454371239261455E-2</v>
      </c>
      <c r="S168">
        <f t="shared" si="11"/>
        <v>1.4654963657500839E-2</v>
      </c>
    </row>
    <row r="169" spans="1:19" x14ac:dyDescent="0.15">
      <c r="A169" s="4">
        <v>28307</v>
      </c>
      <c r="B169">
        <v>2.1700000000000001E-2</v>
      </c>
      <c r="C169">
        <v>-1.9400000000000001E-2</v>
      </c>
      <c r="D169">
        <v>-1.18E-2</v>
      </c>
      <c r="E169">
        <v>-3.5700000000000003E-2</v>
      </c>
      <c r="F169">
        <v>9.5999999999999992E-3</v>
      </c>
      <c r="G169">
        <v>2.2000000000000001E-3</v>
      </c>
      <c r="H169">
        <v>-1.26E-2</v>
      </c>
      <c r="P169">
        <f t="shared" si="12"/>
        <v>-1.8700000000000212</v>
      </c>
      <c r="Q169">
        <f t="shared" si="13"/>
        <v>2.8700000000000214</v>
      </c>
      <c r="R169">
        <f t="shared" si="10"/>
        <v>3.4376103968635927E-2</v>
      </c>
      <c r="S169">
        <f t="shared" si="11"/>
        <v>1.4562607635487753E-2</v>
      </c>
    </row>
    <row r="170" spans="1:19" x14ac:dyDescent="0.15">
      <c r="A170" s="4">
        <v>28338</v>
      </c>
      <c r="B170">
        <v>1.2500000000000001E-2</v>
      </c>
      <c r="C170">
        <v>1.32E-2</v>
      </c>
      <c r="D170">
        <v>-5.7799999999999997E-2</v>
      </c>
      <c r="E170">
        <v>3.7100000000000001E-2</v>
      </c>
      <c r="F170">
        <v>-3.0800000000000001E-2</v>
      </c>
      <c r="G170">
        <v>3.15E-2</v>
      </c>
      <c r="H170">
        <v>7.0999999999999994E-2</v>
      </c>
      <c r="P170">
        <f t="shared" si="12"/>
        <v>-1.8600000000000212</v>
      </c>
      <c r="Q170">
        <f t="shared" si="13"/>
        <v>2.8600000000000212</v>
      </c>
      <c r="R170">
        <f t="shared" si="10"/>
        <v>3.4297836698010398E-2</v>
      </c>
      <c r="S170">
        <f t="shared" si="11"/>
        <v>1.4470572851812096E-2</v>
      </c>
    </row>
    <row r="171" spans="1:19" x14ac:dyDescent="0.15">
      <c r="A171" s="4">
        <v>28369</v>
      </c>
      <c r="B171">
        <v>1.09E-2</v>
      </c>
      <c r="C171">
        <v>-4.4999999999999997E-3</v>
      </c>
      <c r="D171">
        <v>6.1999999999999998E-3</v>
      </c>
      <c r="E171">
        <v>1.7500000000000002E-2</v>
      </c>
      <c r="F171">
        <v>2.1000000000000001E-2</v>
      </c>
      <c r="G171">
        <v>1.01E-2</v>
      </c>
      <c r="H171">
        <v>3.9399999999999998E-2</v>
      </c>
      <c r="P171">
        <f t="shared" si="12"/>
        <v>-1.8500000000000212</v>
      </c>
      <c r="Q171">
        <f t="shared" si="13"/>
        <v>2.850000000000021</v>
      </c>
      <c r="R171">
        <f t="shared" si="10"/>
        <v>3.4219569427384855E-2</v>
      </c>
      <c r="S171">
        <f t="shared" si="11"/>
        <v>1.4378859306473877E-2</v>
      </c>
    </row>
    <row r="172" spans="1:19" x14ac:dyDescent="0.15">
      <c r="A172" s="4">
        <v>28399</v>
      </c>
      <c r="B172">
        <v>-3.3300000000000003E-2</v>
      </c>
      <c r="C172">
        <v>-2.9100000000000001E-2</v>
      </c>
      <c r="D172">
        <v>-3.3000000000000002E-2</v>
      </c>
      <c r="E172">
        <v>-7.2099999999999997E-2</v>
      </c>
      <c r="F172">
        <v>-3.04E-2</v>
      </c>
      <c r="G172">
        <v>-0.03</v>
      </c>
      <c r="H172">
        <v>-5.5999999999999999E-3</v>
      </c>
      <c r="P172">
        <f t="shared" si="12"/>
        <v>-1.8400000000000212</v>
      </c>
      <c r="Q172">
        <f t="shared" si="13"/>
        <v>2.8400000000000212</v>
      </c>
      <c r="R172">
        <f t="shared" si="10"/>
        <v>3.4141302156759333E-2</v>
      </c>
      <c r="S172">
        <f t="shared" si="11"/>
        <v>1.42874669994731E-2</v>
      </c>
    </row>
    <row r="173" spans="1:19" x14ac:dyDescent="0.15">
      <c r="A173" s="4">
        <v>28430</v>
      </c>
      <c r="B173">
        <v>3.4200000000000001E-2</v>
      </c>
      <c r="C173">
        <v>4.7899999999999998E-2</v>
      </c>
      <c r="D173">
        <v>2.6800000000000001E-2</v>
      </c>
      <c r="E173">
        <v>2.07E-2</v>
      </c>
      <c r="F173">
        <v>4.4600000000000001E-2</v>
      </c>
      <c r="G173">
        <v>6.2700000000000006E-2</v>
      </c>
      <c r="H173">
        <v>3.4799999999999998E-2</v>
      </c>
      <c r="P173">
        <f t="shared" si="12"/>
        <v>-1.8300000000000212</v>
      </c>
      <c r="Q173">
        <f t="shared" si="13"/>
        <v>2.8300000000000214</v>
      </c>
      <c r="R173">
        <f t="shared" si="10"/>
        <v>3.4063034886133804E-2</v>
      </c>
      <c r="S173">
        <f t="shared" si="11"/>
        <v>1.4196395930809758E-2</v>
      </c>
    </row>
    <row r="174" spans="1:19" x14ac:dyDescent="0.15">
      <c r="A174" s="4">
        <v>28460</v>
      </c>
      <c r="B174">
        <v>7.4999999999999997E-3</v>
      </c>
      <c r="C174">
        <v>7.0000000000000001E-3</v>
      </c>
      <c r="D174">
        <v>2.1100000000000001E-2</v>
      </c>
      <c r="E174">
        <v>-3.1699999999999999E-2</v>
      </c>
      <c r="F174">
        <v>-8.0000000000000004E-4</v>
      </c>
      <c r="G174">
        <v>1.8200000000000001E-2</v>
      </c>
      <c r="H174">
        <v>-2.5399999999999999E-2</v>
      </c>
      <c r="P174">
        <f t="shared" si="12"/>
        <v>-1.8200000000000212</v>
      </c>
      <c r="Q174">
        <f t="shared" si="13"/>
        <v>2.8200000000000212</v>
      </c>
      <c r="R174">
        <f t="shared" si="10"/>
        <v>3.3984767615508268E-2</v>
      </c>
      <c r="S174">
        <f t="shared" si="11"/>
        <v>1.410564610048385E-2</v>
      </c>
    </row>
    <row r="175" spans="1:19" x14ac:dyDescent="0.15">
      <c r="A175" s="4">
        <v>28491</v>
      </c>
      <c r="B175">
        <v>-4.4699999999999997E-2</v>
      </c>
      <c r="C175">
        <v>-3.8199999999999998E-2</v>
      </c>
      <c r="D175">
        <v>-7.1199999999999999E-2</v>
      </c>
      <c r="E175">
        <v>-1.4E-2</v>
      </c>
      <c r="F175">
        <v>-4.3799999999999999E-2</v>
      </c>
      <c r="G175">
        <v>-5.3699999999999998E-2</v>
      </c>
      <c r="H175">
        <v>-3.1099999999999999E-2</v>
      </c>
      <c r="P175">
        <f t="shared" si="12"/>
        <v>-1.8100000000000211</v>
      </c>
      <c r="Q175">
        <f t="shared" si="13"/>
        <v>2.8100000000000209</v>
      </c>
      <c r="R175">
        <f t="shared" si="10"/>
        <v>3.390650034488274E-2</v>
      </c>
      <c r="S175">
        <f t="shared" si="11"/>
        <v>1.4015217508495379E-2</v>
      </c>
    </row>
    <row r="176" spans="1:19" x14ac:dyDescent="0.15">
      <c r="A176" s="4">
        <v>28522</v>
      </c>
      <c r="B176">
        <v>2.3E-3</v>
      </c>
      <c r="C176">
        <v>-2.8899999999999999E-2</v>
      </c>
      <c r="D176">
        <v>-1.23E-2</v>
      </c>
      <c r="E176">
        <v>-0.02</v>
      </c>
      <c r="F176">
        <v>-2.5999999999999999E-3</v>
      </c>
      <c r="G176">
        <v>1.66E-2</v>
      </c>
      <c r="H176">
        <v>2.2599999999999999E-2</v>
      </c>
      <c r="P176">
        <f t="shared" si="12"/>
        <v>-1.8000000000000211</v>
      </c>
      <c r="Q176">
        <f t="shared" si="13"/>
        <v>2.8000000000000211</v>
      </c>
      <c r="R176">
        <f t="shared" si="10"/>
        <v>3.3828233074257211E-2</v>
      </c>
      <c r="S176">
        <f t="shared" si="11"/>
        <v>1.3925110154844347E-2</v>
      </c>
    </row>
    <row r="177" spans="1:19" x14ac:dyDescent="0.15">
      <c r="A177" s="4">
        <v>28550</v>
      </c>
      <c r="B177">
        <v>3.3300000000000003E-2</v>
      </c>
      <c r="C177">
        <v>3.6600000000000001E-2</v>
      </c>
      <c r="D177">
        <v>2.86E-2</v>
      </c>
      <c r="E177">
        <v>3.7999999999999999E-2</v>
      </c>
      <c r="F177">
        <v>2.6100000000000002E-2</v>
      </c>
      <c r="G177">
        <v>8.1799999999999998E-2</v>
      </c>
      <c r="H177">
        <v>9.3700000000000006E-2</v>
      </c>
      <c r="P177">
        <f t="shared" si="12"/>
        <v>-1.7900000000000211</v>
      </c>
      <c r="Q177">
        <f t="shared" si="13"/>
        <v>2.7900000000000214</v>
      </c>
      <c r="R177">
        <f t="shared" si="10"/>
        <v>3.3749965803631682E-2</v>
      </c>
      <c r="S177">
        <f t="shared" si="11"/>
        <v>1.3835324039530758E-2</v>
      </c>
    </row>
    <row r="178" spans="1:19" x14ac:dyDescent="0.15">
      <c r="A178" s="4">
        <v>28581</v>
      </c>
      <c r="B178">
        <v>5.9299999999999999E-2</v>
      </c>
      <c r="C178">
        <v>9.7299999999999998E-2</v>
      </c>
      <c r="D178">
        <v>7.0599999999999996E-2</v>
      </c>
      <c r="E178">
        <v>0.13739999999999999</v>
      </c>
      <c r="F178">
        <v>4.0000000000000001E-3</v>
      </c>
      <c r="G178">
        <v>8.1600000000000006E-2</v>
      </c>
      <c r="H178">
        <v>1.17E-2</v>
      </c>
      <c r="P178">
        <f t="shared" si="12"/>
        <v>-1.7800000000000211</v>
      </c>
      <c r="Q178">
        <f t="shared" si="13"/>
        <v>2.7800000000000211</v>
      </c>
      <c r="R178">
        <f t="shared" si="10"/>
        <v>3.3671698533006153E-2</v>
      </c>
      <c r="S178">
        <f t="shared" si="11"/>
        <v>1.3745859162554599E-2</v>
      </c>
    </row>
    <row r="179" spans="1:19" x14ac:dyDescent="0.15">
      <c r="A179" s="4">
        <v>28611</v>
      </c>
      <c r="B179">
        <v>4.48E-2</v>
      </c>
      <c r="C179">
        <v>3.5299999999999998E-2</v>
      </c>
      <c r="D179">
        <v>3.3E-3</v>
      </c>
      <c r="E179">
        <v>5.21E-2</v>
      </c>
      <c r="F179">
        <v>8.5000000000000006E-3</v>
      </c>
      <c r="G179">
        <v>5.79E-2</v>
      </c>
      <c r="H179">
        <v>2.2000000000000001E-3</v>
      </c>
      <c r="P179">
        <f t="shared" si="12"/>
        <v>-1.7700000000000211</v>
      </c>
      <c r="Q179">
        <f t="shared" si="13"/>
        <v>2.7700000000000209</v>
      </c>
      <c r="R179">
        <f t="shared" si="10"/>
        <v>3.359343126238061E-2</v>
      </c>
      <c r="S179">
        <f t="shared" si="11"/>
        <v>1.3656715523915871E-2</v>
      </c>
    </row>
    <row r="180" spans="1:19" x14ac:dyDescent="0.15">
      <c r="A180" s="4">
        <v>28642</v>
      </c>
      <c r="B180">
        <v>1.14E-2</v>
      </c>
      <c r="C180">
        <v>-2.8E-3</v>
      </c>
      <c r="D180">
        <v>-4.3200000000000002E-2</v>
      </c>
      <c r="E180">
        <v>1.03E-2</v>
      </c>
      <c r="F180">
        <v>8.8999999999999999E-3</v>
      </c>
      <c r="G180">
        <v>-5.0000000000000001E-4</v>
      </c>
      <c r="H180">
        <v>2.8000000000000001E-2</v>
      </c>
      <c r="P180">
        <f t="shared" si="12"/>
        <v>-1.7600000000000211</v>
      </c>
      <c r="Q180">
        <f t="shared" si="13"/>
        <v>2.7600000000000211</v>
      </c>
      <c r="R180">
        <f t="shared" si="10"/>
        <v>3.3515163991755088E-2</v>
      </c>
      <c r="S180">
        <f t="shared" si="11"/>
        <v>1.356789312361459E-2</v>
      </c>
    </row>
    <row r="181" spans="1:19" x14ac:dyDescent="0.15">
      <c r="A181" s="4">
        <v>28672</v>
      </c>
      <c r="B181">
        <v>3.39E-2</v>
      </c>
      <c r="C181">
        <v>7.1300000000000002E-2</v>
      </c>
      <c r="D181">
        <v>3.8699999999999998E-2</v>
      </c>
      <c r="E181">
        <v>8.9700000000000002E-2</v>
      </c>
      <c r="F181">
        <v>3.04E-2</v>
      </c>
      <c r="G181">
        <v>6.8500000000000005E-2</v>
      </c>
      <c r="H181">
        <v>8.6699999999999999E-2</v>
      </c>
      <c r="P181">
        <f t="shared" si="12"/>
        <v>-1.7500000000000211</v>
      </c>
      <c r="Q181">
        <f t="shared" si="13"/>
        <v>2.7500000000000213</v>
      </c>
      <c r="R181">
        <f t="shared" si="10"/>
        <v>3.3436896721129566E-2</v>
      </c>
      <c r="S181">
        <f t="shared" si="11"/>
        <v>1.3479391961650742E-2</v>
      </c>
    </row>
    <row r="182" spans="1:19" x14ac:dyDescent="0.15">
      <c r="A182" s="4">
        <v>28703</v>
      </c>
      <c r="B182">
        <v>3.3099999999999997E-2</v>
      </c>
      <c r="C182">
        <v>2.58E-2</v>
      </c>
      <c r="D182">
        <v>5.3900000000000003E-2</v>
      </c>
      <c r="E182">
        <v>4.1099999999999998E-2</v>
      </c>
      <c r="F182">
        <v>5.8999999999999999E-3</v>
      </c>
      <c r="G182">
        <v>8.7800000000000003E-2</v>
      </c>
      <c r="H182">
        <v>2.2800000000000001E-2</v>
      </c>
      <c r="P182">
        <f t="shared" si="12"/>
        <v>-1.7400000000000211</v>
      </c>
      <c r="Q182">
        <f t="shared" si="13"/>
        <v>2.7400000000000211</v>
      </c>
      <c r="R182">
        <f t="shared" si="10"/>
        <v>3.3358629450504024E-2</v>
      </c>
      <c r="S182">
        <f t="shared" si="11"/>
        <v>1.3391212038024328E-2</v>
      </c>
    </row>
    <row r="183" spans="1:19" x14ac:dyDescent="0.15">
      <c r="A183" s="4">
        <v>28734</v>
      </c>
      <c r="B183">
        <v>2.8E-3</v>
      </c>
      <c r="C183">
        <v>-1.4E-2</v>
      </c>
      <c r="D183">
        <v>5.8099999999999999E-2</v>
      </c>
      <c r="E183">
        <v>4.7000000000000002E-3</v>
      </c>
      <c r="F183">
        <v>-2.3E-3</v>
      </c>
      <c r="G183">
        <v>-1.7100000000000001E-2</v>
      </c>
      <c r="H183">
        <v>2.2000000000000001E-3</v>
      </c>
      <c r="P183">
        <f t="shared" si="12"/>
        <v>-1.7300000000000211</v>
      </c>
      <c r="Q183">
        <f t="shared" si="13"/>
        <v>2.7300000000000209</v>
      </c>
      <c r="R183">
        <f t="shared" si="10"/>
        <v>3.3280362179878495E-2</v>
      </c>
      <c r="S183">
        <f t="shared" si="11"/>
        <v>1.3303353352735359E-2</v>
      </c>
    </row>
    <row r="184" spans="1:19" x14ac:dyDescent="0.15">
      <c r="A184" s="4">
        <v>28764</v>
      </c>
      <c r="B184">
        <v>-9.1300000000000006E-2</v>
      </c>
      <c r="C184">
        <v>-8.5900000000000004E-2</v>
      </c>
      <c r="D184">
        <v>-8.8099999999999998E-2</v>
      </c>
      <c r="E184">
        <v>-0.1004</v>
      </c>
      <c r="F184">
        <v>-6.9400000000000003E-2</v>
      </c>
      <c r="G184">
        <v>-0.1326</v>
      </c>
      <c r="H184">
        <v>1.0200000000000001E-2</v>
      </c>
      <c r="P184">
        <f t="shared" si="12"/>
        <v>-1.7200000000000211</v>
      </c>
      <c r="Q184">
        <f t="shared" si="13"/>
        <v>2.7200000000000211</v>
      </c>
      <c r="R184">
        <f t="shared" si="10"/>
        <v>3.3202094909252966E-2</v>
      </c>
      <c r="S184">
        <f t="shared" si="11"/>
        <v>1.321581590578382E-2</v>
      </c>
    </row>
    <row r="185" spans="1:19" x14ac:dyDescent="0.15">
      <c r="A185" s="4">
        <v>28795</v>
      </c>
      <c r="B185">
        <v>1.2E-2</v>
      </c>
      <c r="C185">
        <v>2.7799999999999998E-2</v>
      </c>
      <c r="D185">
        <v>6.7299999999999999E-2</v>
      </c>
      <c r="E185">
        <v>4.7300000000000002E-2</v>
      </c>
      <c r="F185">
        <v>3.1699999999999999E-2</v>
      </c>
      <c r="G185">
        <v>3.0800000000000001E-2</v>
      </c>
      <c r="H185">
        <v>-4.2200000000000001E-2</v>
      </c>
      <c r="P185">
        <f t="shared" si="12"/>
        <v>-1.7100000000000211</v>
      </c>
      <c r="Q185">
        <f t="shared" si="13"/>
        <v>2.7100000000000213</v>
      </c>
      <c r="R185">
        <f t="shared" ref="R185:R248" si="14">P185*$L$55+Q185*$N$55</f>
        <v>3.3123827638627437E-2</v>
      </c>
      <c r="S185">
        <f t="shared" ref="S185:S248" si="15">P185^2*$L$56+Q185^2*$N$56+2*P185*Q185*$L$60</f>
        <v>1.3128599697169721E-2</v>
      </c>
    </row>
    <row r="186" spans="1:19" x14ac:dyDescent="0.15">
      <c r="A186" s="4">
        <v>28825</v>
      </c>
      <c r="B186">
        <v>2.4E-2</v>
      </c>
      <c r="C186">
        <v>2.4500000000000001E-2</v>
      </c>
      <c r="D186">
        <v>2.7099999999999999E-2</v>
      </c>
      <c r="E186">
        <v>7.5999999999999998E-2</v>
      </c>
      <c r="F186">
        <v>-9.5999999999999992E-3</v>
      </c>
      <c r="G186">
        <v>1.6799999999999999E-2</v>
      </c>
      <c r="H186">
        <v>2.1399999999999999E-2</v>
      </c>
      <c r="P186">
        <f t="shared" ref="P186:P249" si="16">P185+0.01</f>
        <v>-1.700000000000021</v>
      </c>
      <c r="Q186">
        <f t="shared" ref="Q186:Q249" si="17">1-P186</f>
        <v>2.700000000000021</v>
      </c>
      <c r="R186">
        <f t="shared" si="14"/>
        <v>3.3045560368001908E-2</v>
      </c>
      <c r="S186">
        <f t="shared" si="15"/>
        <v>1.3041704726893056E-2</v>
      </c>
    </row>
    <row r="187" spans="1:19" x14ac:dyDescent="0.15">
      <c r="A187" s="4">
        <v>28856</v>
      </c>
      <c r="B187">
        <v>2.9899999999999999E-2</v>
      </c>
      <c r="C187">
        <v>3.2500000000000001E-2</v>
      </c>
      <c r="D187">
        <v>3.09E-2</v>
      </c>
      <c r="E187">
        <v>5.6300000000000003E-2</v>
      </c>
      <c r="F187">
        <v>6.4799999999999996E-2</v>
      </c>
      <c r="G187">
        <v>4.7300000000000002E-2</v>
      </c>
      <c r="H187">
        <v>1.35E-2</v>
      </c>
      <c r="P187">
        <f t="shared" si="16"/>
        <v>-1.690000000000021</v>
      </c>
      <c r="Q187">
        <f t="shared" si="17"/>
        <v>2.6900000000000208</v>
      </c>
      <c r="R187">
        <f t="shared" si="14"/>
        <v>3.2967293097376373E-2</v>
      </c>
      <c r="S187">
        <f t="shared" si="15"/>
        <v>1.2955130994953828E-2</v>
      </c>
    </row>
    <row r="188" spans="1:19" x14ac:dyDescent="0.15">
      <c r="A188" s="4">
        <v>28887</v>
      </c>
      <c r="B188">
        <v>-3.1899999999999998E-2</v>
      </c>
      <c r="C188">
        <v>-3.2000000000000001E-2</v>
      </c>
      <c r="D188">
        <v>2.5999999999999999E-3</v>
      </c>
      <c r="E188">
        <v>-4.7199999999999999E-2</v>
      </c>
      <c r="F188">
        <v>-1.3899999999999999E-2</v>
      </c>
      <c r="G188">
        <v>-3.6999999999999998E-2</v>
      </c>
      <c r="H188">
        <v>-2.7099999999999999E-2</v>
      </c>
      <c r="P188">
        <f t="shared" si="16"/>
        <v>-1.680000000000021</v>
      </c>
      <c r="Q188">
        <f t="shared" si="17"/>
        <v>2.680000000000021</v>
      </c>
      <c r="R188">
        <f t="shared" si="14"/>
        <v>3.2889025826750844E-2</v>
      </c>
      <c r="S188">
        <f t="shared" si="15"/>
        <v>1.286887850135204E-2</v>
      </c>
    </row>
    <row r="189" spans="1:19" x14ac:dyDescent="0.15">
      <c r="A189" s="4">
        <v>28915</v>
      </c>
      <c r="B189">
        <v>3.7600000000000001E-2</v>
      </c>
      <c r="C189">
        <v>6.2100000000000002E-2</v>
      </c>
      <c r="D189">
        <v>8.1900000000000001E-2</v>
      </c>
      <c r="E189">
        <v>5.1299999999999998E-2</v>
      </c>
      <c r="F189">
        <v>2.5899999999999999E-2</v>
      </c>
      <c r="G189">
        <v>6.7599999999999993E-2</v>
      </c>
      <c r="H189">
        <v>3.8800000000000001E-2</v>
      </c>
      <c r="P189">
        <f t="shared" si="16"/>
        <v>-1.670000000000021</v>
      </c>
      <c r="Q189">
        <f t="shared" si="17"/>
        <v>2.6700000000000212</v>
      </c>
      <c r="R189">
        <f t="shared" si="14"/>
        <v>3.2810758556125322E-2</v>
      </c>
      <c r="S189">
        <f t="shared" si="15"/>
        <v>1.2782947246087688E-2</v>
      </c>
    </row>
    <row r="190" spans="1:19" x14ac:dyDescent="0.15">
      <c r="A190" s="4">
        <v>28946</v>
      </c>
      <c r="B190">
        <v>-2.5000000000000001E-3</v>
      </c>
      <c r="C190">
        <v>1E-4</v>
      </c>
      <c r="D190">
        <v>5.5399999999999998E-2</v>
      </c>
      <c r="E190">
        <v>-1.1599999999999999E-2</v>
      </c>
      <c r="F190">
        <v>-2.2200000000000001E-2</v>
      </c>
      <c r="G190">
        <v>1E-3</v>
      </c>
      <c r="H190">
        <v>2.7699999999999999E-2</v>
      </c>
      <c r="P190">
        <f t="shared" si="16"/>
        <v>-1.660000000000021</v>
      </c>
      <c r="Q190">
        <f t="shared" si="17"/>
        <v>2.660000000000021</v>
      </c>
      <c r="R190">
        <f t="shared" si="14"/>
        <v>3.2732491285499786E-2</v>
      </c>
      <c r="S190">
        <f t="shared" si="15"/>
        <v>1.2697337229160768E-2</v>
      </c>
    </row>
    <row r="191" spans="1:19" x14ac:dyDescent="0.15">
      <c r="A191" s="4">
        <v>28976</v>
      </c>
      <c r="B191">
        <v>-2.4E-2</v>
      </c>
      <c r="C191">
        <v>-3.09E-2</v>
      </c>
      <c r="D191">
        <v>-2.64E-2</v>
      </c>
      <c r="E191">
        <v>-4.3299999999999998E-2</v>
      </c>
      <c r="F191">
        <v>1.5800000000000002E-2</v>
      </c>
      <c r="G191">
        <v>-1.66E-2</v>
      </c>
      <c r="H191">
        <v>1.0800000000000001E-2</v>
      </c>
      <c r="P191">
        <f t="shared" si="16"/>
        <v>-1.650000000000021</v>
      </c>
      <c r="Q191">
        <f t="shared" si="17"/>
        <v>2.6500000000000208</v>
      </c>
      <c r="R191">
        <f t="shared" si="14"/>
        <v>3.265422401487425E-2</v>
      </c>
      <c r="S191">
        <f t="shared" si="15"/>
        <v>1.2612048450571288E-2</v>
      </c>
    </row>
    <row r="192" spans="1:19" x14ac:dyDescent="0.15">
      <c r="A192" s="4">
        <v>29007</v>
      </c>
      <c r="B192">
        <v>3.5799999999999998E-2</v>
      </c>
      <c r="C192">
        <v>3.6299999999999999E-2</v>
      </c>
      <c r="D192">
        <v>8.43E-2</v>
      </c>
      <c r="E192">
        <v>3.6700000000000003E-2</v>
      </c>
      <c r="F192">
        <v>5.0799999999999998E-2</v>
      </c>
      <c r="G192">
        <v>3.8899999999999997E-2</v>
      </c>
      <c r="H192">
        <v>4.65E-2</v>
      </c>
      <c r="P192">
        <f t="shared" si="16"/>
        <v>-1.640000000000021</v>
      </c>
      <c r="Q192">
        <f t="shared" si="17"/>
        <v>2.640000000000021</v>
      </c>
      <c r="R192">
        <f t="shared" si="14"/>
        <v>3.2575956744248721E-2</v>
      </c>
      <c r="S192">
        <f t="shared" si="15"/>
        <v>1.2527080910319248E-2</v>
      </c>
    </row>
    <row r="193" spans="1:19" x14ac:dyDescent="0.15">
      <c r="A193" s="4">
        <v>29037</v>
      </c>
      <c r="B193">
        <v>7.6E-3</v>
      </c>
      <c r="C193">
        <v>1.7999999999999999E-2</v>
      </c>
      <c r="D193">
        <v>1.5900000000000001E-2</v>
      </c>
      <c r="E193">
        <v>-8.8000000000000005E-3</v>
      </c>
      <c r="F193">
        <v>2.18E-2</v>
      </c>
      <c r="G193">
        <v>2.7799999999999998E-2</v>
      </c>
      <c r="H193">
        <v>2.7000000000000001E-3</v>
      </c>
      <c r="P193">
        <f t="shared" si="16"/>
        <v>-1.630000000000021</v>
      </c>
      <c r="Q193">
        <f t="shared" si="17"/>
        <v>2.6300000000000212</v>
      </c>
      <c r="R193">
        <f t="shared" si="14"/>
        <v>3.2497689473623192E-2</v>
      </c>
      <c r="S193">
        <f t="shared" si="15"/>
        <v>1.2442434608404645E-2</v>
      </c>
    </row>
    <row r="194" spans="1:19" x14ac:dyDescent="0.15">
      <c r="A194" s="4">
        <v>29068</v>
      </c>
      <c r="B194">
        <v>7.5600000000000001E-2</v>
      </c>
      <c r="C194">
        <v>8.0799999999999997E-2</v>
      </c>
      <c r="D194">
        <v>8.6999999999999994E-2</v>
      </c>
      <c r="E194">
        <v>8.0699999999999994E-2</v>
      </c>
      <c r="F194">
        <v>2.3400000000000001E-2</v>
      </c>
      <c r="G194">
        <v>8.1000000000000003E-2</v>
      </c>
      <c r="H194">
        <v>4.3200000000000002E-2</v>
      </c>
      <c r="P194">
        <f t="shared" si="16"/>
        <v>-1.620000000000021</v>
      </c>
      <c r="Q194">
        <f t="shared" si="17"/>
        <v>2.620000000000021</v>
      </c>
      <c r="R194">
        <f t="shared" si="14"/>
        <v>3.2419422202997664E-2</v>
      </c>
      <c r="S194">
        <f t="shared" si="15"/>
        <v>1.2358109544827474E-2</v>
      </c>
    </row>
    <row r="195" spans="1:19" x14ac:dyDescent="0.15">
      <c r="A195" s="4">
        <v>29099</v>
      </c>
      <c r="B195">
        <v>-9.1000000000000004E-3</v>
      </c>
      <c r="C195">
        <v>9.7999999999999997E-3</v>
      </c>
      <c r="D195">
        <v>6.6799999999999998E-2</v>
      </c>
      <c r="E195">
        <v>-2.3599999999999999E-2</v>
      </c>
      <c r="F195">
        <v>-1.8800000000000001E-2</v>
      </c>
      <c r="G195">
        <v>2.9000000000000001E-2</v>
      </c>
      <c r="H195">
        <v>5.7099999999999998E-2</v>
      </c>
      <c r="P195">
        <f t="shared" si="16"/>
        <v>-1.610000000000021</v>
      </c>
      <c r="Q195">
        <f t="shared" si="17"/>
        <v>2.6100000000000207</v>
      </c>
      <c r="R195">
        <f t="shared" si="14"/>
        <v>3.2341154932372128E-2</v>
      </c>
      <c r="S195">
        <f t="shared" si="15"/>
        <v>1.2274105719587737E-2</v>
      </c>
    </row>
    <row r="196" spans="1:19" x14ac:dyDescent="0.15">
      <c r="A196" s="4">
        <v>29129</v>
      </c>
      <c r="B196">
        <v>-8.6699999999999999E-2</v>
      </c>
      <c r="C196">
        <v>-6.1100000000000002E-2</v>
      </c>
      <c r="D196">
        <v>-1.66E-2</v>
      </c>
      <c r="E196">
        <v>-8.4900000000000003E-2</v>
      </c>
      <c r="F196">
        <v>-5.7700000000000001E-2</v>
      </c>
      <c r="G196">
        <v>-8.3400000000000002E-2</v>
      </c>
      <c r="H196">
        <v>-5.0900000000000001E-2</v>
      </c>
      <c r="P196">
        <f t="shared" si="16"/>
        <v>-1.600000000000021</v>
      </c>
      <c r="Q196">
        <f t="shared" si="17"/>
        <v>2.600000000000021</v>
      </c>
      <c r="R196">
        <f t="shared" si="14"/>
        <v>3.2262887661746606E-2</v>
      </c>
      <c r="S196">
        <f t="shared" si="15"/>
        <v>1.2190423132685441E-2</v>
      </c>
    </row>
    <row r="197" spans="1:19" x14ac:dyDescent="0.15">
      <c r="A197" s="4">
        <v>29160</v>
      </c>
      <c r="B197">
        <v>5.5399999999999998E-2</v>
      </c>
      <c r="C197">
        <v>6.9199999999999998E-2</v>
      </c>
      <c r="D197">
        <v>0.08</v>
      </c>
      <c r="E197">
        <v>4.2700000000000002E-2</v>
      </c>
      <c r="F197">
        <v>8.0799999999999997E-2</v>
      </c>
      <c r="G197">
        <v>3.7199999999999997E-2</v>
      </c>
      <c r="H197">
        <v>4.6800000000000001E-2</v>
      </c>
      <c r="P197">
        <f t="shared" si="16"/>
        <v>-1.590000000000021</v>
      </c>
      <c r="Q197">
        <f t="shared" si="17"/>
        <v>2.5900000000000212</v>
      </c>
      <c r="R197">
        <f t="shared" si="14"/>
        <v>3.2184620391121077E-2</v>
      </c>
      <c r="S197">
        <f t="shared" si="15"/>
        <v>1.2107061784120587E-2</v>
      </c>
    </row>
    <row r="198" spans="1:19" x14ac:dyDescent="0.15">
      <c r="A198" s="4">
        <v>29190</v>
      </c>
      <c r="B198">
        <v>2.6100000000000002E-2</v>
      </c>
      <c r="C198">
        <v>3.09E-2</v>
      </c>
      <c r="D198">
        <v>8.3999999999999995E-3</v>
      </c>
      <c r="E198">
        <v>4.0300000000000002E-2</v>
      </c>
      <c r="F198">
        <v>-5.3E-3</v>
      </c>
      <c r="G198">
        <v>5.8900000000000001E-2</v>
      </c>
      <c r="H198">
        <v>3.9E-2</v>
      </c>
      <c r="P198">
        <f t="shared" si="16"/>
        <v>-1.5800000000000209</v>
      </c>
      <c r="Q198">
        <f t="shared" si="17"/>
        <v>2.5800000000000209</v>
      </c>
      <c r="R198">
        <f t="shared" si="14"/>
        <v>3.2106353120495541E-2</v>
      </c>
      <c r="S198">
        <f t="shared" si="15"/>
        <v>1.2024021673893165E-2</v>
      </c>
    </row>
    <row r="199" spans="1:19" x14ac:dyDescent="0.15">
      <c r="A199" s="4">
        <v>29221</v>
      </c>
      <c r="B199">
        <v>5.5800000000000002E-2</v>
      </c>
      <c r="C199">
        <v>0.01</v>
      </c>
      <c r="D199">
        <v>0.14630000000000001</v>
      </c>
      <c r="E199">
        <v>1.8800000000000001E-2</v>
      </c>
      <c r="F199">
        <v>2.1600000000000001E-2</v>
      </c>
      <c r="G199">
        <v>3.8199999999999998E-2</v>
      </c>
      <c r="H199">
        <v>1.17E-2</v>
      </c>
      <c r="P199">
        <f t="shared" si="16"/>
        <v>-1.5700000000000209</v>
      </c>
      <c r="Q199">
        <f t="shared" si="17"/>
        <v>2.5700000000000207</v>
      </c>
      <c r="R199">
        <f t="shared" si="14"/>
        <v>3.2028085849870006E-2</v>
      </c>
      <c r="S199">
        <f t="shared" si="15"/>
        <v>1.1941302802003175E-2</v>
      </c>
    </row>
    <row r="200" spans="1:19" x14ac:dyDescent="0.15">
      <c r="A200" s="4">
        <v>29252</v>
      </c>
      <c r="B200">
        <v>-4.3400000000000001E-2</v>
      </c>
      <c r="C200">
        <v>-2.1899999999999999E-2</v>
      </c>
      <c r="D200">
        <v>0.16650000000000001</v>
      </c>
      <c r="E200">
        <v>-5.8400000000000001E-2</v>
      </c>
      <c r="F200">
        <v>-2.87E-2</v>
      </c>
      <c r="G200">
        <v>-3.3000000000000002E-2</v>
      </c>
      <c r="H200">
        <v>-6.5100000000000005E-2</v>
      </c>
      <c r="P200">
        <f t="shared" si="16"/>
        <v>-1.5600000000000209</v>
      </c>
      <c r="Q200">
        <f t="shared" si="17"/>
        <v>2.5600000000000209</v>
      </c>
      <c r="R200">
        <f t="shared" si="14"/>
        <v>3.1949818579244477E-2</v>
      </c>
      <c r="S200">
        <f t="shared" si="15"/>
        <v>1.1858905168450631E-2</v>
      </c>
    </row>
    <row r="201" spans="1:19" x14ac:dyDescent="0.15">
      <c r="A201" s="4">
        <v>29281</v>
      </c>
      <c r="B201">
        <v>-8.3699999999999997E-2</v>
      </c>
      <c r="C201">
        <v>-6.9699999999999998E-2</v>
      </c>
      <c r="D201">
        <v>-0.1711</v>
      </c>
      <c r="E201">
        <v>-1.8700000000000001E-2</v>
      </c>
      <c r="F201">
        <v>-5.9299999999999999E-2</v>
      </c>
      <c r="G201">
        <v>-9.9299999999999999E-2</v>
      </c>
      <c r="H201">
        <v>-7.3200000000000001E-2</v>
      </c>
      <c r="P201">
        <f t="shared" si="16"/>
        <v>-1.5500000000000209</v>
      </c>
      <c r="Q201">
        <f t="shared" si="17"/>
        <v>2.5500000000000211</v>
      </c>
      <c r="R201">
        <f t="shared" si="14"/>
        <v>3.1871551308618955E-2</v>
      </c>
      <c r="S201">
        <f t="shared" si="15"/>
        <v>1.1776828773235519E-2</v>
      </c>
    </row>
    <row r="202" spans="1:19" x14ac:dyDescent="0.15">
      <c r="A202" s="4">
        <v>29312</v>
      </c>
      <c r="B202">
        <v>9.4500000000000001E-2</v>
      </c>
      <c r="C202">
        <v>0.05</v>
      </c>
      <c r="D202">
        <v>6.8599999999999994E-2</v>
      </c>
      <c r="E202">
        <v>5.7000000000000002E-2</v>
      </c>
      <c r="F202">
        <v>0.12470000000000001</v>
      </c>
      <c r="G202">
        <v>3.3000000000000002E-2</v>
      </c>
      <c r="H202">
        <v>8.0199999999999994E-2</v>
      </c>
      <c r="P202">
        <f t="shared" si="16"/>
        <v>-1.5400000000000209</v>
      </c>
      <c r="Q202">
        <f t="shared" si="17"/>
        <v>2.5400000000000209</v>
      </c>
      <c r="R202">
        <f t="shared" si="14"/>
        <v>3.1793284037993419E-2</v>
      </c>
      <c r="S202">
        <f t="shared" si="15"/>
        <v>1.1695073616357845E-2</v>
      </c>
    </row>
    <row r="203" spans="1:19" x14ac:dyDescent="0.15">
      <c r="A203" s="4">
        <v>29342</v>
      </c>
      <c r="B203">
        <v>7.5999999999999998E-2</v>
      </c>
      <c r="C203">
        <v>7.5999999999999998E-2</v>
      </c>
      <c r="D203">
        <v>3.2099999999999997E-2</v>
      </c>
      <c r="E203">
        <v>7.2900000000000006E-2</v>
      </c>
      <c r="F203">
        <v>5.1400000000000001E-2</v>
      </c>
      <c r="G203">
        <v>0.13</v>
      </c>
      <c r="H203">
        <v>6.4299999999999996E-2</v>
      </c>
      <c r="P203">
        <f t="shared" si="16"/>
        <v>-1.5300000000000209</v>
      </c>
      <c r="Q203">
        <f t="shared" si="17"/>
        <v>2.5300000000000207</v>
      </c>
      <c r="R203">
        <f t="shared" si="14"/>
        <v>3.171501676736789E-2</v>
      </c>
      <c r="S203">
        <f t="shared" si="15"/>
        <v>1.1613639697817608E-2</v>
      </c>
    </row>
    <row r="204" spans="1:19" x14ac:dyDescent="0.15">
      <c r="A204" s="4">
        <v>29373</v>
      </c>
      <c r="B204">
        <v>3.3700000000000001E-2</v>
      </c>
      <c r="C204">
        <v>9.1000000000000004E-3</v>
      </c>
      <c r="D204">
        <v>5.2299999999999999E-2</v>
      </c>
      <c r="E204">
        <v>2.7300000000000001E-2</v>
      </c>
      <c r="F204">
        <v>4.8099999999999997E-2</v>
      </c>
      <c r="G204">
        <v>4.07E-2</v>
      </c>
      <c r="H204">
        <v>7.8399999999999997E-2</v>
      </c>
      <c r="P204">
        <f t="shared" si="16"/>
        <v>-1.5200000000000209</v>
      </c>
      <c r="Q204">
        <f t="shared" si="17"/>
        <v>2.5200000000000209</v>
      </c>
      <c r="R204">
        <f t="shared" si="14"/>
        <v>3.1636749496742361E-2</v>
      </c>
      <c r="S204">
        <f t="shared" si="15"/>
        <v>1.1532527017614808E-2</v>
      </c>
    </row>
    <row r="205" spans="1:19" x14ac:dyDescent="0.15">
      <c r="A205" s="4">
        <v>29403</v>
      </c>
      <c r="B205">
        <v>5.7200000000000001E-2</v>
      </c>
      <c r="C205">
        <v>8.5800000000000001E-2</v>
      </c>
      <c r="D205">
        <v>8.6E-3</v>
      </c>
      <c r="E205">
        <v>0.10150000000000001</v>
      </c>
      <c r="F205">
        <v>3.8E-3</v>
      </c>
      <c r="G205">
        <v>9.6699999999999994E-2</v>
      </c>
      <c r="H205">
        <v>-5.7999999999999996E-3</v>
      </c>
      <c r="P205">
        <f t="shared" si="16"/>
        <v>-1.5100000000000209</v>
      </c>
      <c r="Q205">
        <f t="shared" si="17"/>
        <v>2.5100000000000211</v>
      </c>
      <c r="R205">
        <f t="shared" si="14"/>
        <v>3.1558482226116832E-2</v>
      </c>
      <c r="S205">
        <f t="shared" si="15"/>
        <v>1.1451735575749447E-2</v>
      </c>
    </row>
    <row r="206" spans="1:19" x14ac:dyDescent="0.15">
      <c r="A206" s="4">
        <v>29434</v>
      </c>
      <c r="B206">
        <v>7.0000000000000001E-3</v>
      </c>
      <c r="C206">
        <v>1.2699999999999999E-2</v>
      </c>
      <c r="D206">
        <v>2.0299999999999999E-2</v>
      </c>
      <c r="E206">
        <v>5.3800000000000001E-2</v>
      </c>
      <c r="F206">
        <v>-7.1000000000000004E-3</v>
      </c>
      <c r="G206">
        <v>5.9499999999999997E-2</v>
      </c>
      <c r="H206">
        <v>5.4199999999999998E-2</v>
      </c>
      <c r="P206">
        <f t="shared" si="16"/>
        <v>-1.5000000000000209</v>
      </c>
      <c r="Q206">
        <f t="shared" si="17"/>
        <v>2.5000000000000209</v>
      </c>
      <c r="R206">
        <f t="shared" si="14"/>
        <v>3.1480214955491297E-2</v>
      </c>
      <c r="S206">
        <f t="shared" si="15"/>
        <v>1.1371265372221518E-2</v>
      </c>
    </row>
    <row r="207" spans="1:19" x14ac:dyDescent="0.15">
      <c r="A207" s="4">
        <v>29465</v>
      </c>
      <c r="B207">
        <v>1E-3</v>
      </c>
      <c r="C207">
        <v>2.07E-2</v>
      </c>
      <c r="D207">
        <v>6.4199999999999993E-2</v>
      </c>
      <c r="E207">
        <v>7.0999999999999994E-2</v>
      </c>
      <c r="F207">
        <v>8.2000000000000007E-3</v>
      </c>
      <c r="G207">
        <v>4.5499999999999999E-2</v>
      </c>
      <c r="H207">
        <v>5.8099999999999999E-2</v>
      </c>
      <c r="P207">
        <f t="shared" si="16"/>
        <v>-1.4900000000000209</v>
      </c>
      <c r="Q207">
        <f t="shared" si="17"/>
        <v>2.4900000000000206</v>
      </c>
      <c r="R207">
        <f t="shared" si="14"/>
        <v>3.1401947684865761E-2</v>
      </c>
      <c r="S207">
        <f t="shared" si="15"/>
        <v>1.1291116407031026E-2</v>
      </c>
    </row>
    <row r="208" spans="1:19" x14ac:dyDescent="0.15">
      <c r="A208" s="4">
        <v>29495</v>
      </c>
      <c r="B208">
        <v>-1.14E-2</v>
      </c>
      <c r="C208">
        <v>-1.6299999999999999E-2</v>
      </c>
      <c r="D208">
        <v>8.5999999999999993E-2</v>
      </c>
      <c r="E208">
        <v>0.05</v>
      </c>
      <c r="F208">
        <v>2.4E-2</v>
      </c>
      <c r="G208">
        <v>2.1899999999999999E-2</v>
      </c>
      <c r="H208">
        <v>2.47E-2</v>
      </c>
      <c r="P208">
        <f t="shared" si="16"/>
        <v>-1.4800000000000209</v>
      </c>
      <c r="Q208">
        <f t="shared" si="17"/>
        <v>2.4800000000000209</v>
      </c>
      <c r="R208">
        <f t="shared" si="14"/>
        <v>3.1323680414240232E-2</v>
      </c>
      <c r="S208">
        <f t="shared" si="15"/>
        <v>1.1211288680177975E-2</v>
      </c>
    </row>
    <row r="209" spans="1:19" x14ac:dyDescent="0.15">
      <c r="A209" s="4">
        <v>29526</v>
      </c>
      <c r="B209">
        <v>1.2999999999999999E-2</v>
      </c>
      <c r="C209">
        <v>8.09E-2</v>
      </c>
      <c r="D209">
        <v>0.24640000000000001</v>
      </c>
      <c r="E209">
        <v>7.0900000000000005E-2</v>
      </c>
      <c r="F209">
        <v>9.4E-2</v>
      </c>
      <c r="G209">
        <v>6.2100000000000002E-2</v>
      </c>
      <c r="H209">
        <v>6.7000000000000004E-2</v>
      </c>
      <c r="P209">
        <f t="shared" si="16"/>
        <v>-1.4700000000000208</v>
      </c>
      <c r="Q209">
        <f t="shared" si="17"/>
        <v>2.4700000000000211</v>
      </c>
      <c r="R209">
        <f t="shared" si="14"/>
        <v>3.1245413143614717E-2</v>
      </c>
      <c r="S209">
        <f t="shared" si="15"/>
        <v>1.1131782191662358E-2</v>
      </c>
    </row>
    <row r="210" spans="1:19" x14ac:dyDescent="0.15">
      <c r="A210" s="4">
        <v>29556</v>
      </c>
      <c r="B210">
        <v>3.0599999999999999E-2</v>
      </c>
      <c r="C210">
        <v>2.0400000000000001E-2</v>
      </c>
      <c r="D210">
        <v>-0.1115</v>
      </c>
      <c r="E210">
        <v>3.2800000000000003E-2</v>
      </c>
      <c r="F210">
        <v>-1.37E-2</v>
      </c>
      <c r="G210">
        <v>-5.1000000000000004E-3</v>
      </c>
      <c r="H210">
        <v>1.1599999999999999E-2</v>
      </c>
      <c r="P210">
        <f t="shared" si="16"/>
        <v>-1.4600000000000208</v>
      </c>
      <c r="Q210">
        <f t="shared" si="17"/>
        <v>2.4600000000000208</v>
      </c>
      <c r="R210">
        <f t="shared" si="14"/>
        <v>3.1167145872989178E-2</v>
      </c>
      <c r="S210">
        <f t="shared" si="15"/>
        <v>1.1052596941484177E-2</v>
      </c>
    </row>
    <row r="211" spans="1:19" x14ac:dyDescent="0.15">
      <c r="A211" s="4">
        <v>29587</v>
      </c>
      <c r="B211">
        <v>2.4899999999999999E-2</v>
      </c>
      <c r="C211">
        <v>-1.2999999999999999E-3</v>
      </c>
      <c r="D211">
        <v>-9.5200000000000007E-2</v>
      </c>
      <c r="E211">
        <v>-1.78E-2</v>
      </c>
      <c r="F211">
        <v>-1.9699999999999999E-2</v>
      </c>
      <c r="G211">
        <v>1.2999999999999999E-3</v>
      </c>
      <c r="H211">
        <v>-3.3700000000000001E-2</v>
      </c>
      <c r="P211">
        <f t="shared" si="16"/>
        <v>-1.4500000000000208</v>
      </c>
      <c r="Q211">
        <f t="shared" si="17"/>
        <v>2.4500000000000206</v>
      </c>
      <c r="R211">
        <f t="shared" si="14"/>
        <v>3.1088878602363642E-2</v>
      </c>
      <c r="S211">
        <f t="shared" si="15"/>
        <v>1.0973732929643432E-2</v>
      </c>
    </row>
    <row r="212" spans="1:19" x14ac:dyDescent="0.15">
      <c r="A212" s="4">
        <v>29618</v>
      </c>
      <c r="B212">
        <v>2.2100000000000002E-2</v>
      </c>
      <c r="C212">
        <v>3.6600000000000001E-2</v>
      </c>
      <c r="D212">
        <v>-1.5599999999999999E-2</v>
      </c>
      <c r="E212">
        <v>7.3800000000000004E-2</v>
      </c>
      <c r="F212">
        <v>-7.1999999999999998E-3</v>
      </c>
      <c r="G212">
        <v>3.04E-2</v>
      </c>
      <c r="H212">
        <v>-3.7000000000000002E-3</v>
      </c>
      <c r="P212">
        <f t="shared" si="16"/>
        <v>-1.4400000000000208</v>
      </c>
      <c r="Q212">
        <f t="shared" si="17"/>
        <v>2.4400000000000208</v>
      </c>
      <c r="R212">
        <f t="shared" si="14"/>
        <v>3.1010611331738117E-2</v>
      </c>
      <c r="S212">
        <f t="shared" si="15"/>
        <v>1.0895190156140129E-2</v>
      </c>
    </row>
    <row r="213" spans="1:19" x14ac:dyDescent="0.15">
      <c r="A213" s="4">
        <v>29646</v>
      </c>
      <c r="B213">
        <v>7.0699999999999999E-2</v>
      </c>
      <c r="C213">
        <v>3.95E-2</v>
      </c>
      <c r="D213">
        <v>-3.0599999999999999E-2</v>
      </c>
      <c r="E213">
        <v>6.0400000000000002E-2</v>
      </c>
      <c r="F213">
        <v>3.1899999999999998E-2</v>
      </c>
      <c r="G213">
        <v>0.1166</v>
      </c>
      <c r="H213">
        <v>5.4300000000000001E-2</v>
      </c>
      <c r="P213">
        <f t="shared" si="16"/>
        <v>-1.4300000000000208</v>
      </c>
      <c r="Q213">
        <f t="shared" si="17"/>
        <v>2.430000000000021</v>
      </c>
      <c r="R213">
        <f t="shared" si="14"/>
        <v>3.0932344061112595E-2</v>
      </c>
      <c r="S213">
        <f t="shared" si="15"/>
        <v>1.0816968620974261E-2</v>
      </c>
    </row>
    <row r="214" spans="1:19" x14ac:dyDescent="0.15">
      <c r="A214" s="4">
        <v>29677</v>
      </c>
      <c r="B214">
        <v>-1.6999999999999999E-3</v>
      </c>
      <c r="C214">
        <v>1.1900000000000001E-2</v>
      </c>
      <c r="D214">
        <v>-6.0499999999999998E-2</v>
      </c>
      <c r="E214">
        <v>7.8299999999999995E-2</v>
      </c>
      <c r="F214">
        <v>-1.8599999999999998E-2</v>
      </c>
      <c r="G214">
        <v>5.91E-2</v>
      </c>
      <c r="H214">
        <v>8.9999999999999993E-3</v>
      </c>
      <c r="P214">
        <f t="shared" si="16"/>
        <v>-1.4200000000000208</v>
      </c>
      <c r="Q214">
        <f t="shared" si="17"/>
        <v>2.4200000000000208</v>
      </c>
      <c r="R214">
        <f t="shared" si="14"/>
        <v>3.0854076790487055E-2</v>
      </c>
      <c r="S214">
        <f t="shared" si="15"/>
        <v>1.0739068324145829E-2</v>
      </c>
    </row>
    <row r="215" spans="1:19" x14ac:dyDescent="0.15">
      <c r="A215" s="4">
        <v>29707</v>
      </c>
      <c r="B215">
        <v>2.3599999999999999E-2</v>
      </c>
      <c r="C215">
        <v>8.9999999999999998E-4</v>
      </c>
      <c r="D215">
        <v>-3.6600000000000001E-2</v>
      </c>
      <c r="E215">
        <v>4.3099999999999999E-2</v>
      </c>
      <c r="F215">
        <v>2.07E-2</v>
      </c>
      <c r="G215">
        <v>6.0999999999999999E-2</v>
      </c>
      <c r="H215">
        <v>1.77E-2</v>
      </c>
      <c r="P215">
        <f t="shared" si="16"/>
        <v>-1.4100000000000208</v>
      </c>
      <c r="Q215">
        <f t="shared" si="17"/>
        <v>2.4100000000000206</v>
      </c>
      <c r="R215">
        <f t="shared" si="14"/>
        <v>3.077580951986152E-2</v>
      </c>
      <c r="S215">
        <f t="shared" si="15"/>
        <v>1.0661489265654826E-2</v>
      </c>
    </row>
    <row r="216" spans="1:19" x14ac:dyDescent="0.15">
      <c r="A216" s="4">
        <v>29738</v>
      </c>
      <c r="B216">
        <v>2.8999999999999998E-3</v>
      </c>
      <c r="C216">
        <v>-3.2000000000000002E-3</v>
      </c>
      <c r="D216">
        <v>6.88E-2</v>
      </c>
      <c r="E216">
        <v>-1.89E-2</v>
      </c>
      <c r="F216">
        <v>3.5400000000000001E-2</v>
      </c>
      <c r="G216">
        <v>-1.8499999999999999E-2</v>
      </c>
      <c r="H216">
        <v>1.1599999999999999E-2</v>
      </c>
      <c r="P216">
        <f t="shared" si="16"/>
        <v>-1.4000000000000208</v>
      </c>
      <c r="Q216">
        <f t="shared" si="17"/>
        <v>2.4000000000000208</v>
      </c>
      <c r="R216">
        <f t="shared" si="14"/>
        <v>3.0697542249236001E-2</v>
      </c>
      <c r="S216">
        <f t="shared" si="15"/>
        <v>1.0584231445501271E-2</v>
      </c>
    </row>
    <row r="217" spans="1:19" x14ac:dyDescent="0.15">
      <c r="A217" s="4">
        <v>29768</v>
      </c>
      <c r="B217">
        <v>-1.38E-2</v>
      </c>
      <c r="C217">
        <v>-3.5400000000000001E-2</v>
      </c>
      <c r="D217">
        <v>6.3700000000000007E-2</v>
      </c>
      <c r="E217">
        <v>-5.5999999999999999E-3</v>
      </c>
      <c r="F217">
        <v>2.93E-2</v>
      </c>
      <c r="G217">
        <v>-1.0500000000000001E-2</v>
      </c>
      <c r="H217">
        <v>-2.0199999999999999E-2</v>
      </c>
      <c r="P217">
        <f t="shared" si="16"/>
        <v>-1.3900000000000208</v>
      </c>
      <c r="Q217">
        <f t="shared" si="17"/>
        <v>2.390000000000021</v>
      </c>
      <c r="R217">
        <f t="shared" si="14"/>
        <v>3.0619274978610472E-2</v>
      </c>
      <c r="S217">
        <f t="shared" si="15"/>
        <v>1.0507294863685152E-2</v>
      </c>
    </row>
    <row r="218" spans="1:19" x14ac:dyDescent="0.15">
      <c r="A218" s="4">
        <v>29799</v>
      </c>
      <c r="B218">
        <v>-4.36E-2</v>
      </c>
      <c r="C218">
        <v>-5.0500000000000003E-2</v>
      </c>
      <c r="D218">
        <v>-4.4699999999999997E-2</v>
      </c>
      <c r="E218">
        <v>-0.1017</v>
      </c>
      <c r="F218">
        <v>-8.2000000000000007E-3</v>
      </c>
      <c r="G218">
        <v>-4.5499999999999999E-2</v>
      </c>
      <c r="H218">
        <v>-4.3499999999999997E-2</v>
      </c>
      <c r="P218">
        <f t="shared" si="16"/>
        <v>-1.3800000000000208</v>
      </c>
      <c r="Q218">
        <f t="shared" si="17"/>
        <v>2.3800000000000208</v>
      </c>
      <c r="R218">
        <f t="shared" si="14"/>
        <v>3.054100770798494E-2</v>
      </c>
      <c r="S218">
        <f t="shared" si="15"/>
        <v>1.0430679520206468E-2</v>
      </c>
    </row>
    <row r="219" spans="1:19" x14ac:dyDescent="0.15">
      <c r="A219" s="4">
        <v>29830</v>
      </c>
      <c r="B219">
        <v>-1.6199999999999999E-2</v>
      </c>
      <c r="C219">
        <v>-4.2000000000000003E-2</v>
      </c>
      <c r="D219">
        <v>-0.105</v>
      </c>
      <c r="E219">
        <v>-7.8700000000000006E-2</v>
      </c>
      <c r="F219">
        <v>-5.3199999999999997E-2</v>
      </c>
      <c r="G219">
        <v>-6.6299999999999998E-2</v>
      </c>
      <c r="H219">
        <v>-3.2500000000000001E-2</v>
      </c>
      <c r="P219">
        <f t="shared" si="16"/>
        <v>-1.3700000000000208</v>
      </c>
      <c r="Q219">
        <f t="shared" si="17"/>
        <v>2.3700000000000205</v>
      </c>
      <c r="R219">
        <f t="shared" si="14"/>
        <v>3.0462740437359397E-2</v>
      </c>
      <c r="S219">
        <f t="shared" si="15"/>
        <v>1.0354385415065212E-2</v>
      </c>
    </row>
    <row r="220" spans="1:19" x14ac:dyDescent="0.15">
      <c r="A220" s="4">
        <v>29860</v>
      </c>
      <c r="B220">
        <v>9.5699999999999993E-2</v>
      </c>
      <c r="C220">
        <v>6.8199999999999997E-2</v>
      </c>
      <c r="D220">
        <v>8.5699999999999998E-2</v>
      </c>
      <c r="E220">
        <v>6.5000000000000002E-2</v>
      </c>
      <c r="F220">
        <v>5.3699999999999998E-2</v>
      </c>
      <c r="G220">
        <v>6.2799999999999995E-2</v>
      </c>
      <c r="H220">
        <v>9.1800000000000007E-2</v>
      </c>
      <c r="P220">
        <f t="shared" si="16"/>
        <v>-1.3600000000000207</v>
      </c>
      <c r="Q220">
        <f t="shared" si="17"/>
        <v>2.3600000000000207</v>
      </c>
      <c r="R220">
        <f t="shared" si="14"/>
        <v>3.0384473166733879E-2</v>
      </c>
      <c r="S220">
        <f t="shared" si="15"/>
        <v>1.0278412548261406E-2</v>
      </c>
    </row>
    <row r="221" spans="1:19" x14ac:dyDescent="0.15">
      <c r="A221" s="4">
        <v>29891</v>
      </c>
      <c r="B221">
        <v>2.8899999999999999E-2</v>
      </c>
      <c r="C221">
        <v>4.0099999999999997E-2</v>
      </c>
      <c r="D221">
        <v>9.4299999999999995E-2</v>
      </c>
      <c r="E221">
        <v>4.2700000000000002E-2</v>
      </c>
      <c r="F221">
        <v>6.2300000000000001E-2</v>
      </c>
      <c r="G221">
        <v>9.5999999999999992E-3</v>
      </c>
      <c r="H221">
        <v>6.5600000000000006E-2</v>
      </c>
      <c r="P221">
        <f t="shared" si="16"/>
        <v>-1.3500000000000207</v>
      </c>
      <c r="Q221">
        <f t="shared" si="17"/>
        <v>2.350000000000021</v>
      </c>
      <c r="R221">
        <f t="shared" si="14"/>
        <v>3.0306205896108353E-2</v>
      </c>
      <c r="S221">
        <f t="shared" si="15"/>
        <v>1.0202760919795032E-2</v>
      </c>
    </row>
    <row r="222" spans="1:19" x14ac:dyDescent="0.15">
      <c r="A222" s="4">
        <v>29921</v>
      </c>
      <c r="B222">
        <v>2.9999999999999997E-4</v>
      </c>
      <c r="C222">
        <v>-1.2699999999999999E-2</v>
      </c>
      <c r="D222">
        <v>-6.2899999999999998E-2</v>
      </c>
      <c r="E222">
        <v>7.7000000000000002E-3</v>
      </c>
      <c r="F222">
        <v>-2.1899999999999999E-2</v>
      </c>
      <c r="G222">
        <v>-3.8999999999999998E-3</v>
      </c>
      <c r="H222">
        <v>-3.6600000000000001E-2</v>
      </c>
      <c r="P222">
        <f t="shared" si="16"/>
        <v>-1.3400000000000207</v>
      </c>
      <c r="Q222">
        <f t="shared" si="17"/>
        <v>2.3400000000000207</v>
      </c>
      <c r="R222">
        <f t="shared" si="14"/>
        <v>3.0227938625482818E-2</v>
      </c>
      <c r="S222">
        <f t="shared" si="15"/>
        <v>1.0127430529666094E-2</v>
      </c>
    </row>
    <row r="223" spans="1:19" x14ac:dyDescent="0.15">
      <c r="A223" s="4">
        <v>29952</v>
      </c>
      <c r="B223">
        <v>1.8E-3</v>
      </c>
      <c r="C223">
        <v>2.5000000000000001E-3</v>
      </c>
      <c r="D223">
        <v>-8.2299999999999998E-2</v>
      </c>
      <c r="E223">
        <v>3.5900000000000001E-2</v>
      </c>
      <c r="F223">
        <v>-2.0000000000000001E-4</v>
      </c>
      <c r="G223">
        <v>-1.0999999999999999E-2</v>
      </c>
      <c r="H223">
        <v>-2.1899999999999999E-2</v>
      </c>
      <c r="P223">
        <f t="shared" si="16"/>
        <v>-1.3300000000000207</v>
      </c>
      <c r="Q223">
        <f t="shared" si="17"/>
        <v>2.3300000000000205</v>
      </c>
      <c r="R223">
        <f t="shared" si="14"/>
        <v>3.0149671354857278E-2</v>
      </c>
      <c r="S223">
        <f t="shared" si="15"/>
        <v>1.005242137787459E-2</v>
      </c>
    </row>
    <row r="224" spans="1:19" x14ac:dyDescent="0.15">
      <c r="A224" s="4">
        <v>29983</v>
      </c>
      <c r="B224">
        <v>-4.4999999999999997E-3</v>
      </c>
      <c r="C224">
        <v>-3.4099999999999998E-2</v>
      </c>
      <c r="D224">
        <v>-9.4299999999999995E-2</v>
      </c>
      <c r="E224">
        <v>-5.1700000000000003E-2</v>
      </c>
      <c r="F224">
        <v>2E-3</v>
      </c>
      <c r="G224">
        <v>-3.0700000000000002E-2</v>
      </c>
      <c r="H224">
        <v>-3.8100000000000002E-2</v>
      </c>
      <c r="P224">
        <f t="shared" si="16"/>
        <v>-1.3200000000000207</v>
      </c>
      <c r="Q224">
        <f t="shared" si="17"/>
        <v>2.3200000000000207</v>
      </c>
      <c r="R224">
        <f t="shared" si="14"/>
        <v>3.0071404084231756E-2</v>
      </c>
      <c r="S224">
        <f t="shared" si="15"/>
        <v>9.9777334644205271E-3</v>
      </c>
    </row>
    <row r="225" spans="1:19" x14ac:dyDescent="0.15">
      <c r="A225" s="4">
        <v>30011</v>
      </c>
      <c r="B225">
        <v>3.6299999999999999E-2</v>
      </c>
      <c r="C225">
        <v>-1.47E-2</v>
      </c>
      <c r="D225">
        <v>-1.7899999999999999E-2</v>
      </c>
      <c r="E225">
        <v>2.7000000000000001E-3</v>
      </c>
      <c r="F225">
        <v>2.1000000000000001E-2</v>
      </c>
      <c r="G225">
        <v>-4.0000000000000002E-4</v>
      </c>
      <c r="H225">
        <v>6.4999999999999997E-3</v>
      </c>
      <c r="P225">
        <f t="shared" si="16"/>
        <v>-1.3100000000000207</v>
      </c>
      <c r="Q225">
        <f t="shared" si="17"/>
        <v>2.3100000000000209</v>
      </c>
      <c r="R225">
        <f t="shared" si="14"/>
        <v>2.9993136813606231E-2</v>
      </c>
      <c r="S225">
        <f t="shared" si="15"/>
        <v>9.9033667893039055E-3</v>
      </c>
    </row>
    <row r="226" spans="1:19" x14ac:dyDescent="0.15">
      <c r="A226" s="4">
        <v>30042</v>
      </c>
      <c r="B226">
        <v>7.0199999999999999E-2</v>
      </c>
      <c r="C226">
        <v>6.0499999999999998E-2</v>
      </c>
      <c r="D226">
        <v>4.2599999999999999E-2</v>
      </c>
      <c r="E226">
        <v>5.5399999999999998E-2</v>
      </c>
      <c r="F226">
        <v>3.9600000000000003E-2</v>
      </c>
      <c r="G226">
        <v>5.0599999999999999E-2</v>
      </c>
      <c r="H226">
        <v>4.6899999999999997E-2</v>
      </c>
      <c r="P226">
        <f t="shared" si="16"/>
        <v>-1.3000000000000207</v>
      </c>
      <c r="Q226">
        <f t="shared" si="17"/>
        <v>2.3000000000000207</v>
      </c>
      <c r="R226">
        <f t="shared" si="14"/>
        <v>2.9914869542980699E-2</v>
      </c>
      <c r="S226">
        <f t="shared" si="15"/>
        <v>9.8293213525247111E-3</v>
      </c>
    </row>
    <row r="227" spans="1:19" x14ac:dyDescent="0.15">
      <c r="A227" s="4">
        <v>30072</v>
      </c>
      <c r="B227">
        <v>-2.1899999999999999E-2</v>
      </c>
      <c r="C227">
        <v>-3.2099999999999997E-2</v>
      </c>
      <c r="D227">
        <v>5.7599999999999998E-2</v>
      </c>
      <c r="E227">
        <v>-1.8100000000000002E-2</v>
      </c>
      <c r="F227">
        <v>-5.4999999999999997E-3</v>
      </c>
      <c r="G227">
        <v>-0.03</v>
      </c>
      <c r="H227">
        <v>-3.8399999999999997E-2</v>
      </c>
      <c r="P227">
        <f t="shared" si="16"/>
        <v>-1.2900000000000207</v>
      </c>
      <c r="Q227">
        <f t="shared" si="17"/>
        <v>2.2900000000000205</v>
      </c>
      <c r="R227">
        <f t="shared" si="14"/>
        <v>2.9836602272355163E-2</v>
      </c>
      <c r="S227">
        <f t="shared" si="15"/>
        <v>9.755597154082956E-3</v>
      </c>
    </row>
    <row r="228" spans="1:19" x14ac:dyDescent="0.15">
      <c r="A228" s="4">
        <v>30103</v>
      </c>
      <c r="B228">
        <v>2.3300000000000001E-2</v>
      </c>
      <c r="C228">
        <v>-2.07E-2</v>
      </c>
      <c r="D228">
        <v>-4.3499999999999997E-2</v>
      </c>
      <c r="E228">
        <v>4.5999999999999999E-3</v>
      </c>
      <c r="F228">
        <v>-2.0500000000000001E-2</v>
      </c>
      <c r="G228">
        <v>9.5999999999999992E-3</v>
      </c>
      <c r="H228">
        <v>-3.3099999999999997E-2</v>
      </c>
      <c r="P228">
        <f t="shared" si="16"/>
        <v>-1.2800000000000207</v>
      </c>
      <c r="Q228">
        <f t="shared" si="17"/>
        <v>2.2800000000000207</v>
      </c>
      <c r="R228">
        <f t="shared" si="14"/>
        <v>2.9758335001729634E-2</v>
      </c>
      <c r="S228">
        <f t="shared" si="15"/>
        <v>9.6821941939786403E-3</v>
      </c>
    </row>
    <row r="229" spans="1:19" x14ac:dyDescent="0.15">
      <c r="A229" s="4">
        <v>30133</v>
      </c>
      <c r="B229">
        <v>2.58E-2</v>
      </c>
      <c r="C229">
        <v>-8.3999999999999995E-3</v>
      </c>
      <c r="D229">
        <v>-7.3499999999999996E-2</v>
      </c>
      <c r="E229">
        <v>8.9999999999999998E-4</v>
      </c>
      <c r="F229">
        <v>-1.9599999999999999E-2</v>
      </c>
      <c r="G229">
        <v>1.0500000000000001E-2</v>
      </c>
      <c r="H229">
        <v>-2.0899999999999998E-2</v>
      </c>
      <c r="P229">
        <f t="shared" si="16"/>
        <v>-1.2700000000000207</v>
      </c>
      <c r="Q229">
        <f t="shared" si="17"/>
        <v>2.2700000000000209</v>
      </c>
      <c r="R229">
        <f t="shared" si="14"/>
        <v>2.9680067731104109E-2</v>
      </c>
      <c r="S229">
        <f t="shared" si="15"/>
        <v>9.6091124722117623E-3</v>
      </c>
    </row>
    <row r="230" spans="1:19" x14ac:dyDescent="0.15">
      <c r="A230" s="4">
        <v>30164</v>
      </c>
      <c r="B230">
        <v>7.1900000000000006E-2</v>
      </c>
      <c r="C230">
        <v>0.13270000000000001</v>
      </c>
      <c r="D230">
        <v>0.1203</v>
      </c>
      <c r="E230">
        <v>0.14000000000000001</v>
      </c>
      <c r="F230">
        <v>0.123</v>
      </c>
      <c r="G230">
        <v>9.1999999999999998E-2</v>
      </c>
      <c r="H230">
        <v>0.1087</v>
      </c>
      <c r="P230">
        <f t="shared" si="16"/>
        <v>-1.2600000000000207</v>
      </c>
      <c r="Q230">
        <f t="shared" si="17"/>
        <v>2.2600000000000207</v>
      </c>
      <c r="R230">
        <f t="shared" si="14"/>
        <v>2.9601800460478576E-2</v>
      </c>
      <c r="S230">
        <f t="shared" si="15"/>
        <v>9.5363519887823149E-3</v>
      </c>
    </row>
    <row r="231" spans="1:19" x14ac:dyDescent="0.15">
      <c r="A231" s="4">
        <v>30195</v>
      </c>
      <c r="B231">
        <v>3.6999999999999998E-2</v>
      </c>
      <c r="C231">
        <v>1.12E-2</v>
      </c>
      <c r="D231">
        <v>2.3599999999999999E-2</v>
      </c>
      <c r="E231">
        <v>-5.7999999999999996E-3</v>
      </c>
      <c r="F231">
        <v>1.26E-2</v>
      </c>
      <c r="G231">
        <v>3.6200000000000003E-2</v>
      </c>
      <c r="H231">
        <v>5.2900000000000003E-2</v>
      </c>
      <c r="P231">
        <f t="shared" si="16"/>
        <v>-1.2500000000000207</v>
      </c>
      <c r="Q231">
        <f t="shared" si="17"/>
        <v>2.2500000000000204</v>
      </c>
      <c r="R231">
        <f t="shared" si="14"/>
        <v>2.9523533189853041E-2</v>
      </c>
      <c r="S231">
        <f t="shared" si="15"/>
        <v>9.4639127436903121E-3</v>
      </c>
    </row>
    <row r="232" spans="1:19" x14ac:dyDescent="0.15">
      <c r="A232" s="4">
        <v>30225</v>
      </c>
      <c r="B232">
        <v>7.3899999999999993E-2</v>
      </c>
      <c r="C232">
        <v>0.105</v>
      </c>
      <c r="D232">
        <v>5.0299999999999997E-2</v>
      </c>
      <c r="E232">
        <v>0.121</v>
      </c>
      <c r="F232">
        <v>5.6000000000000001E-2</v>
      </c>
      <c r="G232">
        <v>0.14729999999999999</v>
      </c>
      <c r="H232">
        <v>0.1542</v>
      </c>
      <c r="P232">
        <f t="shared" si="16"/>
        <v>-1.2400000000000206</v>
      </c>
      <c r="Q232">
        <f t="shared" si="17"/>
        <v>2.2400000000000206</v>
      </c>
      <c r="R232">
        <f t="shared" si="14"/>
        <v>2.9445265919227512E-2</v>
      </c>
      <c r="S232">
        <f t="shared" si="15"/>
        <v>9.3917947369357383E-3</v>
      </c>
    </row>
    <row r="233" spans="1:19" x14ac:dyDescent="0.15">
      <c r="A233" s="4">
        <v>30256</v>
      </c>
      <c r="B233">
        <v>5.62E-2</v>
      </c>
      <c r="C233">
        <v>4.2700000000000002E-2</v>
      </c>
      <c r="D233">
        <v>-4.4200000000000003E-2</v>
      </c>
      <c r="E233">
        <v>0.11899999999999999</v>
      </c>
      <c r="F233">
        <v>9.2999999999999992E-3</v>
      </c>
      <c r="G233">
        <v>0.12230000000000001</v>
      </c>
      <c r="H233">
        <v>6.88E-2</v>
      </c>
      <c r="P233">
        <f t="shared" si="16"/>
        <v>-1.2300000000000206</v>
      </c>
      <c r="Q233">
        <f t="shared" si="17"/>
        <v>2.2300000000000209</v>
      </c>
      <c r="R233">
        <f t="shared" si="14"/>
        <v>2.9366998648601986E-2</v>
      </c>
      <c r="S233">
        <f t="shared" si="15"/>
        <v>9.3199979685186125E-3</v>
      </c>
    </row>
    <row r="234" spans="1:19" x14ac:dyDescent="0.15">
      <c r="A234" s="4">
        <v>30286</v>
      </c>
      <c r="B234">
        <v>1.5599999999999999E-2</v>
      </c>
      <c r="C234">
        <v>-9.7000000000000003E-3</v>
      </c>
      <c r="D234">
        <v>4.7300000000000002E-2</v>
      </c>
      <c r="E234">
        <v>-1.18E-2</v>
      </c>
      <c r="F234">
        <v>4.41E-2</v>
      </c>
      <c r="G234">
        <v>2.93E-2</v>
      </c>
      <c r="H234">
        <v>-7.0000000000000001E-3</v>
      </c>
      <c r="P234">
        <f t="shared" si="16"/>
        <v>-1.2200000000000206</v>
      </c>
      <c r="Q234">
        <f t="shared" si="17"/>
        <v>2.2200000000000206</v>
      </c>
      <c r="R234">
        <f t="shared" si="14"/>
        <v>2.9288731377976454E-2</v>
      </c>
      <c r="S234">
        <f t="shared" si="15"/>
        <v>9.2485224384389123E-3</v>
      </c>
    </row>
    <row r="235" spans="1:19" x14ac:dyDescent="0.15">
      <c r="A235" s="4">
        <v>30317</v>
      </c>
      <c r="B235">
        <v>-1E-4</v>
      </c>
      <c r="C235">
        <v>5.4899999999999997E-2</v>
      </c>
      <c r="D235">
        <v>3.2500000000000001E-2</v>
      </c>
      <c r="E235">
        <v>3.78E-2</v>
      </c>
      <c r="F235">
        <v>3.9699999999999999E-2</v>
      </c>
      <c r="G235">
        <v>1.8599999999999998E-2</v>
      </c>
      <c r="H235">
        <v>1.11E-2</v>
      </c>
      <c r="P235">
        <f t="shared" si="16"/>
        <v>-1.2100000000000206</v>
      </c>
      <c r="Q235">
        <f t="shared" si="17"/>
        <v>2.2100000000000204</v>
      </c>
      <c r="R235">
        <f t="shared" si="14"/>
        <v>2.9210464107350918E-2</v>
      </c>
      <c r="S235">
        <f t="shared" si="15"/>
        <v>9.1773681466966496E-3</v>
      </c>
    </row>
    <row r="236" spans="1:19" x14ac:dyDescent="0.15">
      <c r="A236" s="4">
        <v>30348</v>
      </c>
      <c r="B236">
        <v>1.83E-2</v>
      </c>
      <c r="C236">
        <v>3.1300000000000001E-2</v>
      </c>
      <c r="D236">
        <v>5.8999999999999999E-3</v>
      </c>
      <c r="E236">
        <v>5.3199999999999997E-2</v>
      </c>
      <c r="F236">
        <v>1.9099999999999999E-2</v>
      </c>
      <c r="G236">
        <v>7.5899999999999995E-2</v>
      </c>
      <c r="H236">
        <v>0.05</v>
      </c>
      <c r="P236">
        <f t="shared" si="16"/>
        <v>-1.2000000000000206</v>
      </c>
      <c r="Q236">
        <f t="shared" si="17"/>
        <v>2.2000000000000206</v>
      </c>
      <c r="R236">
        <f t="shared" si="14"/>
        <v>2.9132196836725393E-2</v>
      </c>
      <c r="S236">
        <f t="shared" si="15"/>
        <v>9.1065350932918333E-3</v>
      </c>
    </row>
    <row r="237" spans="1:19" x14ac:dyDescent="0.15">
      <c r="A237" s="4">
        <v>30376</v>
      </c>
      <c r="B237">
        <v>6.6299999999999998E-2</v>
      </c>
      <c r="C237">
        <v>3.3399999999999999E-2</v>
      </c>
      <c r="D237">
        <v>6.5000000000000002E-2</v>
      </c>
      <c r="E237">
        <v>-1.26E-2</v>
      </c>
      <c r="F237">
        <v>0</v>
      </c>
      <c r="G237">
        <v>6.4500000000000002E-2</v>
      </c>
      <c r="H237">
        <v>7.5899999999999995E-2</v>
      </c>
      <c r="P237">
        <f t="shared" si="16"/>
        <v>-1.1900000000000206</v>
      </c>
      <c r="Q237">
        <f t="shared" si="17"/>
        <v>2.1900000000000208</v>
      </c>
      <c r="R237">
        <f t="shared" si="14"/>
        <v>2.9053929566099868E-2</v>
      </c>
      <c r="S237">
        <f t="shared" si="15"/>
        <v>9.0360232782244494E-3</v>
      </c>
    </row>
    <row r="238" spans="1:19" x14ac:dyDescent="0.15">
      <c r="A238" s="4">
        <v>30407</v>
      </c>
      <c r="B238">
        <v>5.7700000000000001E-2</v>
      </c>
      <c r="C238">
        <v>7.2400000000000006E-2</v>
      </c>
      <c r="D238">
        <v>0.11219999999999999</v>
      </c>
      <c r="E238">
        <v>3.8699999999999998E-2</v>
      </c>
      <c r="F238">
        <v>5.1799999999999999E-2</v>
      </c>
      <c r="G238">
        <v>7.4200000000000002E-2</v>
      </c>
      <c r="H238">
        <v>9.6699999999999994E-2</v>
      </c>
      <c r="P238">
        <f t="shared" si="16"/>
        <v>-1.1800000000000206</v>
      </c>
      <c r="Q238">
        <f t="shared" si="17"/>
        <v>2.1800000000000206</v>
      </c>
      <c r="R238">
        <f t="shared" si="14"/>
        <v>2.8975662295474332E-2</v>
      </c>
      <c r="S238">
        <f t="shared" si="15"/>
        <v>8.9658327014944979E-3</v>
      </c>
    </row>
    <row r="239" spans="1:19" x14ac:dyDescent="0.15">
      <c r="A239" s="4">
        <v>30437</v>
      </c>
      <c r="B239">
        <v>-4.3E-3</v>
      </c>
      <c r="C239">
        <v>-1.4E-3</v>
      </c>
      <c r="D239">
        <v>-1.03E-2</v>
      </c>
      <c r="E239">
        <v>2.01E-2</v>
      </c>
      <c r="F239">
        <v>3.0499999999999999E-2</v>
      </c>
      <c r="G239">
        <v>2.1100000000000001E-2</v>
      </c>
      <c r="H239">
        <v>1.14E-2</v>
      </c>
      <c r="P239">
        <f t="shared" si="16"/>
        <v>-1.1700000000000206</v>
      </c>
      <c r="Q239">
        <f t="shared" si="17"/>
        <v>2.1700000000000204</v>
      </c>
      <c r="R239">
        <f t="shared" si="14"/>
        <v>2.8897395024848796E-2</v>
      </c>
      <c r="S239">
        <f t="shared" si="15"/>
        <v>8.8959633631019858E-3</v>
      </c>
    </row>
    <row r="240" spans="1:19" x14ac:dyDescent="0.15">
      <c r="A240" s="4">
        <v>30468</v>
      </c>
      <c r="B240">
        <v>1.5599999999999999E-2</v>
      </c>
      <c r="C240">
        <v>4.6100000000000002E-2</v>
      </c>
      <c r="D240">
        <v>6.0299999999999999E-2</v>
      </c>
      <c r="E240">
        <v>7.6499999999999999E-2</v>
      </c>
      <c r="F240">
        <v>-1.2999999999999999E-3</v>
      </c>
      <c r="G240">
        <v>4.7699999999999999E-2</v>
      </c>
      <c r="H240">
        <v>1.9599999999999999E-2</v>
      </c>
      <c r="P240">
        <f t="shared" si="16"/>
        <v>-1.1600000000000206</v>
      </c>
      <c r="Q240">
        <f t="shared" si="17"/>
        <v>2.1600000000000206</v>
      </c>
      <c r="R240">
        <f t="shared" si="14"/>
        <v>2.8819127754223271E-2</v>
      </c>
      <c r="S240">
        <f t="shared" si="15"/>
        <v>8.8264152630469113E-3</v>
      </c>
    </row>
    <row r="241" spans="1:19" x14ac:dyDescent="0.15">
      <c r="A241" s="4">
        <v>30498</v>
      </c>
      <c r="B241">
        <v>-2.1999999999999999E-2</v>
      </c>
      <c r="C241">
        <v>-1.9099999999999999E-2</v>
      </c>
      <c r="D241">
        <v>-1.2999999999999999E-2</v>
      </c>
      <c r="E241">
        <v>-6.4199999999999993E-2</v>
      </c>
      <c r="F241">
        <v>1.1299999999999999E-2</v>
      </c>
      <c r="G241">
        <v>-4.4200000000000003E-2</v>
      </c>
      <c r="H241">
        <v>-1.8599999999999998E-2</v>
      </c>
      <c r="P241">
        <f t="shared" si="16"/>
        <v>-1.1500000000000206</v>
      </c>
      <c r="Q241">
        <f t="shared" si="17"/>
        <v>2.1500000000000208</v>
      </c>
      <c r="R241">
        <f t="shared" si="14"/>
        <v>2.8740860483597745E-2</v>
      </c>
      <c r="S241">
        <f t="shared" si="15"/>
        <v>8.7571884013292779E-3</v>
      </c>
    </row>
    <row r="242" spans="1:19" x14ac:dyDescent="0.15">
      <c r="A242" s="4">
        <v>30529</v>
      </c>
      <c r="B242">
        <v>2.9499999999999998E-2</v>
      </c>
      <c r="C242">
        <v>3.32E-2</v>
      </c>
      <c r="D242">
        <v>7.3300000000000004E-2</v>
      </c>
      <c r="E242">
        <v>-1.2200000000000001E-2</v>
      </c>
      <c r="F242">
        <v>1.47E-2</v>
      </c>
      <c r="G242">
        <v>-3.27E-2</v>
      </c>
      <c r="H242">
        <v>8.8000000000000005E-3</v>
      </c>
      <c r="P242">
        <f t="shared" si="16"/>
        <v>-1.1400000000000206</v>
      </c>
      <c r="Q242">
        <f t="shared" si="17"/>
        <v>2.1400000000000206</v>
      </c>
      <c r="R242">
        <f t="shared" si="14"/>
        <v>2.8662593212972209E-2</v>
      </c>
      <c r="S242">
        <f t="shared" si="15"/>
        <v>8.6882827779490718E-3</v>
      </c>
    </row>
    <row r="243" spans="1:19" x14ac:dyDescent="0.15">
      <c r="A243" s="4">
        <v>30560</v>
      </c>
      <c r="B243">
        <v>6.0299999999999999E-2</v>
      </c>
      <c r="C243">
        <v>1.5100000000000001E-2</v>
      </c>
      <c r="D243">
        <v>-3.5999999999999997E-2</v>
      </c>
      <c r="E243">
        <v>1.23E-2</v>
      </c>
      <c r="F243">
        <v>4.8300000000000003E-2</v>
      </c>
      <c r="G243">
        <v>3.9399999999999998E-2</v>
      </c>
      <c r="H243">
        <v>2.3E-2</v>
      </c>
      <c r="P243">
        <f t="shared" si="16"/>
        <v>-1.1300000000000205</v>
      </c>
      <c r="Q243">
        <f t="shared" si="17"/>
        <v>2.1300000000000203</v>
      </c>
      <c r="R243">
        <f t="shared" si="14"/>
        <v>2.8584325942346674E-2</v>
      </c>
      <c r="S243">
        <f t="shared" si="15"/>
        <v>8.6196983929063033E-3</v>
      </c>
    </row>
    <row r="244" spans="1:19" x14ac:dyDescent="0.15">
      <c r="A244" s="4">
        <v>30590</v>
      </c>
      <c r="B244">
        <v>3.2899999999999999E-2</v>
      </c>
      <c r="C244">
        <v>-4.8999999999999998E-3</v>
      </c>
      <c r="D244">
        <v>-8.6999999999999994E-3</v>
      </c>
      <c r="E244">
        <v>-5.5E-2</v>
      </c>
      <c r="F244">
        <v>2.9399999999999999E-2</v>
      </c>
      <c r="G244">
        <v>-2.4799999999999999E-2</v>
      </c>
      <c r="H244">
        <v>-2.8500000000000001E-2</v>
      </c>
      <c r="P244">
        <f t="shared" si="16"/>
        <v>-1.1200000000000205</v>
      </c>
      <c r="Q244">
        <f t="shared" si="17"/>
        <v>2.1200000000000205</v>
      </c>
      <c r="R244">
        <f t="shared" si="14"/>
        <v>2.8506058671721148E-2</v>
      </c>
      <c r="S244">
        <f t="shared" si="15"/>
        <v>8.5514352462009793E-3</v>
      </c>
    </row>
    <row r="245" spans="1:19" x14ac:dyDescent="0.15">
      <c r="A245" s="4">
        <v>30621</v>
      </c>
      <c r="B245">
        <v>3.1800000000000002E-2</v>
      </c>
      <c r="C245">
        <v>9.5999999999999992E-3</v>
      </c>
      <c r="D245">
        <v>6.3E-3</v>
      </c>
      <c r="E245">
        <v>5.7799999999999997E-2</v>
      </c>
      <c r="F245">
        <v>-7.9000000000000008E-3</v>
      </c>
      <c r="G245">
        <v>4.5900000000000003E-2</v>
      </c>
      <c r="H245">
        <v>4.1700000000000001E-2</v>
      </c>
      <c r="P245">
        <f t="shared" si="16"/>
        <v>-1.1100000000000205</v>
      </c>
      <c r="Q245">
        <f t="shared" si="17"/>
        <v>2.1100000000000207</v>
      </c>
      <c r="R245">
        <f t="shared" si="14"/>
        <v>2.8427791401095623E-2</v>
      </c>
      <c r="S245">
        <f t="shared" si="15"/>
        <v>8.483493337833093E-3</v>
      </c>
    </row>
    <row r="246" spans="1:19" x14ac:dyDescent="0.15">
      <c r="A246" s="4">
        <v>30651</v>
      </c>
      <c r="B246">
        <v>-1E-3</v>
      </c>
      <c r="C246">
        <v>-3.5799999999999998E-2</v>
      </c>
      <c r="D246">
        <v>1.9199999999999998E-2</v>
      </c>
      <c r="E246">
        <v>7.9000000000000008E-3</v>
      </c>
      <c r="F246">
        <v>-3.2099999999999997E-2</v>
      </c>
      <c r="G246">
        <v>4.7000000000000002E-3</v>
      </c>
      <c r="H246">
        <v>-2.8999999999999998E-3</v>
      </c>
      <c r="P246">
        <f t="shared" si="16"/>
        <v>-1.1000000000000205</v>
      </c>
      <c r="Q246">
        <f t="shared" si="17"/>
        <v>2.1000000000000205</v>
      </c>
      <c r="R246">
        <f t="shared" si="14"/>
        <v>2.8349524130470087E-2</v>
      </c>
      <c r="S246">
        <f t="shared" si="15"/>
        <v>8.4158726678026374E-3</v>
      </c>
    </row>
    <row r="247" spans="1:19" x14ac:dyDescent="0.15">
      <c r="A247" s="4">
        <v>30682</v>
      </c>
      <c r="B247">
        <v>1.0699999999999999E-2</v>
      </c>
      <c r="C247">
        <v>-2.01E-2</v>
      </c>
      <c r="D247">
        <v>0.1115</v>
      </c>
      <c r="E247">
        <v>-4.5900000000000003E-2</v>
      </c>
      <c r="F247">
        <v>1.23E-2</v>
      </c>
      <c r="G247">
        <v>-3.6299999999999999E-2</v>
      </c>
      <c r="H247">
        <v>1.6500000000000001E-2</v>
      </c>
      <c r="P247">
        <f t="shared" si="16"/>
        <v>-1.0900000000000205</v>
      </c>
      <c r="Q247">
        <f t="shared" si="17"/>
        <v>2.0900000000000203</v>
      </c>
      <c r="R247">
        <f t="shared" si="14"/>
        <v>2.8271256859844555E-2</v>
      </c>
      <c r="S247">
        <f t="shared" si="15"/>
        <v>8.3485732361096177E-3</v>
      </c>
    </row>
    <row r="248" spans="1:19" x14ac:dyDescent="0.15">
      <c r="A248" s="4">
        <v>30713</v>
      </c>
      <c r="B248">
        <v>-0.04</v>
      </c>
      <c r="C248">
        <v>-3.3000000000000002E-2</v>
      </c>
      <c r="D248">
        <v>3.56E-2</v>
      </c>
      <c r="E248">
        <v>-7.0800000000000002E-2</v>
      </c>
      <c r="F248">
        <v>-3.0700000000000002E-2</v>
      </c>
      <c r="G248">
        <v>-4.5999999999999999E-2</v>
      </c>
      <c r="H248">
        <v>-2.9899999999999999E-2</v>
      </c>
      <c r="P248">
        <f t="shared" si="16"/>
        <v>-1.0800000000000205</v>
      </c>
      <c r="Q248">
        <f t="shared" si="17"/>
        <v>2.0800000000000205</v>
      </c>
      <c r="R248">
        <f t="shared" si="14"/>
        <v>2.8192989589219029E-2</v>
      </c>
      <c r="S248">
        <f t="shared" si="15"/>
        <v>8.2815950427540391E-3</v>
      </c>
    </row>
    <row r="249" spans="1:19" x14ac:dyDescent="0.15">
      <c r="A249" s="4">
        <v>30742</v>
      </c>
      <c r="B249">
        <v>1.5900000000000001E-2</v>
      </c>
      <c r="C249">
        <v>2.98E-2</v>
      </c>
      <c r="D249">
        <v>-1.2800000000000001E-2</v>
      </c>
      <c r="E249">
        <v>-3.0000000000000001E-3</v>
      </c>
      <c r="F249">
        <v>-4.0000000000000002E-4</v>
      </c>
      <c r="G249">
        <v>3.9100000000000003E-2</v>
      </c>
      <c r="H249">
        <v>2.5600000000000001E-2</v>
      </c>
      <c r="P249">
        <f t="shared" si="16"/>
        <v>-1.0700000000000205</v>
      </c>
      <c r="Q249">
        <f t="shared" si="17"/>
        <v>2.0700000000000207</v>
      </c>
      <c r="R249">
        <f t="shared" ref="R249:R312" si="18">P249*$L$55+Q249*$N$55</f>
        <v>2.8114722318593501E-2</v>
      </c>
      <c r="S249">
        <f t="shared" ref="S249:S312" si="19">P249^2*$L$56+Q249^2*$N$56+2*P249*Q249*$L$60</f>
        <v>8.2149380877358982E-3</v>
      </c>
    </row>
    <row r="250" spans="1:19" x14ac:dyDescent="0.15">
      <c r="A250" s="4">
        <v>30773</v>
      </c>
      <c r="B250">
        <v>7.4999999999999997E-3</v>
      </c>
      <c r="C250">
        <v>1.4999999999999999E-2</v>
      </c>
      <c r="D250">
        <v>5.2600000000000001E-2</v>
      </c>
      <c r="E250">
        <v>6.7999999999999996E-3</v>
      </c>
      <c r="F250">
        <v>-1.6999999999999999E-3</v>
      </c>
      <c r="G250">
        <v>3.44E-2</v>
      </c>
      <c r="H250">
        <v>-8.8000000000000005E-3</v>
      </c>
      <c r="P250">
        <f t="shared" ref="P250:P313" si="20">P249+0.01</f>
        <v>-1.0600000000000205</v>
      </c>
      <c r="Q250">
        <f t="shared" ref="Q250:Q313" si="21">1-P250</f>
        <v>2.0600000000000205</v>
      </c>
      <c r="R250">
        <f t="shared" si="18"/>
        <v>2.8036455047967965E-2</v>
      </c>
      <c r="S250">
        <f t="shared" si="19"/>
        <v>8.1486023710551896E-3</v>
      </c>
    </row>
    <row r="251" spans="1:19" x14ac:dyDescent="0.15">
      <c r="A251" s="4">
        <v>30803</v>
      </c>
      <c r="B251">
        <v>-1.8200000000000001E-2</v>
      </c>
      <c r="C251">
        <v>-5.0099999999999999E-2</v>
      </c>
      <c r="D251">
        <v>-4.4900000000000002E-2</v>
      </c>
      <c r="E251">
        <v>-3.8899999999999997E-2</v>
      </c>
      <c r="F251">
        <v>-6.7000000000000002E-3</v>
      </c>
      <c r="G251">
        <v>-6.6199999999999995E-2</v>
      </c>
      <c r="H251">
        <v>-5.4199999999999998E-2</v>
      </c>
      <c r="P251">
        <f t="shared" si="20"/>
        <v>-1.0500000000000205</v>
      </c>
      <c r="Q251">
        <f t="shared" si="21"/>
        <v>2.0500000000000203</v>
      </c>
      <c r="R251">
        <f t="shared" si="18"/>
        <v>2.7958187777342432E-2</v>
      </c>
      <c r="S251">
        <f t="shared" si="19"/>
        <v>8.082587892711917E-3</v>
      </c>
    </row>
    <row r="252" spans="1:19" x14ac:dyDescent="0.15">
      <c r="A252" s="4">
        <v>30834</v>
      </c>
      <c r="B252">
        <v>6.6799999999999998E-2</v>
      </c>
      <c r="C252">
        <v>3.7100000000000001E-2</v>
      </c>
      <c r="D252">
        <v>-1.6E-2</v>
      </c>
      <c r="E252">
        <v>3.2199999999999999E-2</v>
      </c>
      <c r="F252">
        <v>9.4000000000000004E-3</v>
      </c>
      <c r="G252">
        <v>6.8199999999999997E-2</v>
      </c>
      <c r="H252">
        <v>1.9E-2</v>
      </c>
      <c r="P252">
        <f t="shared" si="20"/>
        <v>-1.0400000000000205</v>
      </c>
      <c r="Q252">
        <f t="shared" si="21"/>
        <v>2.0400000000000205</v>
      </c>
      <c r="R252">
        <f t="shared" si="18"/>
        <v>2.7879920506716907E-2</v>
      </c>
      <c r="S252">
        <f t="shared" si="19"/>
        <v>8.0168946527060872E-3</v>
      </c>
    </row>
    <row r="253" spans="1:19" x14ac:dyDescent="0.15">
      <c r="A253" s="4">
        <v>30864</v>
      </c>
      <c r="B253">
        <v>-8.5000000000000006E-3</v>
      </c>
      <c r="C253">
        <v>-3.1199999999999999E-2</v>
      </c>
      <c r="D253">
        <v>-6.2199999999999998E-2</v>
      </c>
      <c r="E253">
        <v>-1.17E-2</v>
      </c>
      <c r="F253">
        <v>5.7999999999999996E-3</v>
      </c>
      <c r="G253">
        <v>-1.11E-2</v>
      </c>
      <c r="H253">
        <v>-1.47E-2</v>
      </c>
      <c r="P253">
        <f t="shared" si="20"/>
        <v>-1.0300000000000205</v>
      </c>
      <c r="Q253">
        <f t="shared" si="21"/>
        <v>2.0300000000000207</v>
      </c>
      <c r="R253">
        <f t="shared" si="18"/>
        <v>2.7801653236091378E-2</v>
      </c>
      <c r="S253">
        <f t="shared" si="19"/>
        <v>7.951522651037695E-3</v>
      </c>
    </row>
    <row r="254" spans="1:19" x14ac:dyDescent="0.15">
      <c r="A254" s="4">
        <v>30895</v>
      </c>
      <c r="B254">
        <v>7.6399999999999996E-2</v>
      </c>
      <c r="C254">
        <v>0.1024</v>
      </c>
      <c r="D254">
        <v>0.14610000000000001</v>
      </c>
      <c r="E254">
        <v>0.115</v>
      </c>
      <c r="F254">
        <v>8.3400000000000002E-2</v>
      </c>
      <c r="G254">
        <v>0.124</v>
      </c>
      <c r="H254">
        <v>0.1201</v>
      </c>
      <c r="P254">
        <f t="shared" si="20"/>
        <v>-1.0200000000000204</v>
      </c>
      <c r="Q254">
        <f t="shared" si="21"/>
        <v>2.0200000000000204</v>
      </c>
      <c r="R254">
        <f t="shared" si="18"/>
        <v>2.7723385965465846E-2</v>
      </c>
      <c r="S254">
        <f t="shared" si="19"/>
        <v>7.8864718877067301E-3</v>
      </c>
    </row>
    <row r="255" spans="1:19" x14ac:dyDescent="0.15">
      <c r="A255" s="4">
        <v>30926</v>
      </c>
      <c r="B255">
        <v>2.86E-2</v>
      </c>
      <c r="C255">
        <v>-2.3099999999999999E-2</v>
      </c>
      <c r="D255">
        <v>2.7300000000000001E-2</v>
      </c>
      <c r="E255">
        <v>-4.5600000000000002E-2</v>
      </c>
      <c r="F255">
        <v>4.9399999999999999E-2</v>
      </c>
      <c r="G255">
        <v>1.9800000000000002E-2</v>
      </c>
      <c r="H255">
        <v>3.6900000000000002E-2</v>
      </c>
      <c r="P255">
        <f t="shared" si="20"/>
        <v>-1.0100000000000204</v>
      </c>
      <c r="Q255">
        <f t="shared" si="21"/>
        <v>2.0100000000000202</v>
      </c>
      <c r="R255">
        <f t="shared" si="18"/>
        <v>2.7645118694840314E-2</v>
      </c>
      <c r="S255">
        <f t="shared" si="19"/>
        <v>7.8217423627132097E-3</v>
      </c>
    </row>
    <row r="256" spans="1:19" x14ac:dyDescent="0.15">
      <c r="A256" s="4">
        <v>30956</v>
      </c>
      <c r="B256">
        <v>2.29E-2</v>
      </c>
      <c r="C256">
        <v>1.5900000000000001E-2</v>
      </c>
      <c r="D256">
        <v>-3.9100000000000003E-2</v>
      </c>
      <c r="E256">
        <v>-1.09E-2</v>
      </c>
      <c r="F256">
        <v>3.32E-2</v>
      </c>
      <c r="G256">
        <v>1.9E-2</v>
      </c>
      <c r="H256">
        <v>1.14E-2</v>
      </c>
      <c r="P256">
        <f t="shared" si="20"/>
        <v>-1.0000000000000204</v>
      </c>
      <c r="Q256">
        <f t="shared" si="21"/>
        <v>2.0000000000000204</v>
      </c>
      <c r="R256">
        <f t="shared" si="18"/>
        <v>2.7566851424214785E-2</v>
      </c>
      <c r="S256">
        <f t="shared" si="19"/>
        <v>7.7573340760571236E-3</v>
      </c>
    </row>
    <row r="257" spans="1:19" x14ac:dyDescent="0.15">
      <c r="A257" s="4">
        <v>30987</v>
      </c>
      <c r="B257">
        <v>1E-4</v>
      </c>
      <c r="C257">
        <v>-1E-4</v>
      </c>
      <c r="D257">
        <v>-9.7999999999999997E-3</v>
      </c>
      <c r="E257">
        <v>-6.4000000000000003E-3</v>
      </c>
      <c r="F257">
        <v>3.1199999999999999E-2</v>
      </c>
      <c r="G257">
        <v>-2.64E-2</v>
      </c>
      <c r="H257">
        <v>2.3999999999999998E-3</v>
      </c>
      <c r="P257">
        <f t="shared" si="20"/>
        <v>-0.99000000000002042</v>
      </c>
      <c r="Q257">
        <f t="shared" si="21"/>
        <v>1.9900000000000204</v>
      </c>
      <c r="R257">
        <f t="shared" si="18"/>
        <v>2.7488584153589256E-2</v>
      </c>
      <c r="S257">
        <f t="shared" si="19"/>
        <v>7.6932470277384759E-3</v>
      </c>
    </row>
    <row r="258" spans="1:19" x14ac:dyDescent="0.15">
      <c r="A258" s="4">
        <v>31017</v>
      </c>
      <c r="B258">
        <v>2.6599999999999999E-2</v>
      </c>
      <c r="C258">
        <v>2.64E-2</v>
      </c>
      <c r="D258">
        <v>-1.1000000000000001E-3</v>
      </c>
      <c r="E258">
        <v>1.9800000000000002E-2</v>
      </c>
      <c r="F258">
        <v>2.8299999999999999E-2</v>
      </c>
      <c r="G258">
        <v>2.93E-2</v>
      </c>
      <c r="H258">
        <v>3.8699999999999998E-2</v>
      </c>
      <c r="P258">
        <f t="shared" si="20"/>
        <v>-0.98000000000002041</v>
      </c>
      <c r="Q258">
        <f t="shared" si="21"/>
        <v>1.9800000000000204</v>
      </c>
      <c r="R258">
        <f t="shared" si="18"/>
        <v>2.7410316882963724E-2</v>
      </c>
      <c r="S258">
        <f t="shared" si="19"/>
        <v>7.6294812177572632E-3</v>
      </c>
    </row>
    <row r="259" spans="1:19" x14ac:dyDescent="0.15">
      <c r="A259" s="4">
        <v>31048</v>
      </c>
      <c r="B259">
        <v>1.6899999999999998E-2</v>
      </c>
      <c r="C259">
        <v>6.3299999999999995E-2</v>
      </c>
      <c r="D259">
        <v>5.9799999999999999E-2</v>
      </c>
      <c r="E259">
        <v>9.9599999999999994E-2</v>
      </c>
      <c r="F259">
        <v>2.9899999999999999E-2</v>
      </c>
      <c r="G259">
        <v>0.1295</v>
      </c>
      <c r="H259">
        <v>9.0200000000000002E-2</v>
      </c>
      <c r="P259">
        <f t="shared" si="20"/>
        <v>-0.9700000000000204</v>
      </c>
      <c r="Q259">
        <f t="shared" si="21"/>
        <v>1.9700000000000204</v>
      </c>
      <c r="R259">
        <f t="shared" si="18"/>
        <v>2.7332049612338198E-2</v>
      </c>
      <c r="S259">
        <f t="shared" si="19"/>
        <v>7.5660366461134899E-3</v>
      </c>
    </row>
    <row r="260" spans="1:19" x14ac:dyDescent="0.15">
      <c r="A260" s="4">
        <v>31079</v>
      </c>
      <c r="B260">
        <v>5.3699999999999998E-2</v>
      </c>
      <c r="C260">
        <v>2.6800000000000001E-2</v>
      </c>
      <c r="D260">
        <v>3.5400000000000001E-2</v>
      </c>
      <c r="E260">
        <v>1.67E-2</v>
      </c>
      <c r="F260">
        <v>1.52E-2</v>
      </c>
      <c r="G260">
        <v>3.6299999999999999E-2</v>
      </c>
      <c r="H260">
        <v>2.2700000000000001E-2</v>
      </c>
      <c r="P260">
        <f t="shared" si="20"/>
        <v>-0.96000000000002039</v>
      </c>
      <c r="Q260">
        <f t="shared" si="21"/>
        <v>1.9600000000000204</v>
      </c>
      <c r="R260">
        <f t="shared" si="18"/>
        <v>2.7253782341712662E-2</v>
      </c>
      <c r="S260">
        <f t="shared" si="19"/>
        <v>7.5029133128071517E-3</v>
      </c>
    </row>
    <row r="261" spans="1:19" x14ac:dyDescent="0.15">
      <c r="A261" s="4">
        <v>31107</v>
      </c>
      <c r="B261">
        <v>6.6600000000000006E-2</v>
      </c>
      <c r="C261">
        <v>1.61E-2</v>
      </c>
      <c r="D261">
        <v>3.1600000000000003E-2</v>
      </c>
      <c r="E261">
        <v>-1.8599999999999998E-2</v>
      </c>
      <c r="F261">
        <v>6.3700000000000007E-2</v>
      </c>
      <c r="G261">
        <v>6.6E-3</v>
      </c>
      <c r="H261">
        <v>1.23E-2</v>
      </c>
      <c r="P261">
        <f t="shared" si="20"/>
        <v>-0.95000000000002038</v>
      </c>
      <c r="Q261">
        <f t="shared" si="21"/>
        <v>1.9500000000000204</v>
      </c>
      <c r="R261">
        <f t="shared" si="18"/>
        <v>2.7175515071087133E-2</v>
      </c>
      <c r="S261">
        <f t="shared" si="19"/>
        <v>7.440111217838251E-3</v>
      </c>
    </row>
    <row r="262" spans="1:19" x14ac:dyDescent="0.15">
      <c r="A262" s="4">
        <v>31138</v>
      </c>
      <c r="B262">
        <v>-1.1599999999999999E-2</v>
      </c>
      <c r="C262">
        <v>-2.8999999999999998E-3</v>
      </c>
      <c r="D262">
        <v>4.9599999999999998E-2</v>
      </c>
      <c r="E262">
        <v>-1.7600000000000001E-2</v>
      </c>
      <c r="F262">
        <v>1.7399999999999999E-2</v>
      </c>
      <c r="G262">
        <v>-5.7999999999999996E-3</v>
      </c>
      <c r="H262">
        <v>2.9600000000000001E-2</v>
      </c>
      <c r="P262">
        <f t="shared" si="20"/>
        <v>-0.94000000000002037</v>
      </c>
      <c r="Q262">
        <f t="shared" si="21"/>
        <v>1.9400000000000204</v>
      </c>
      <c r="R262">
        <f t="shared" si="18"/>
        <v>2.7097247800461601E-2</v>
      </c>
      <c r="S262">
        <f t="shared" si="19"/>
        <v>7.3776303612067846E-3</v>
      </c>
    </row>
    <row r="263" spans="1:19" x14ac:dyDescent="0.15">
      <c r="A263" s="4">
        <v>31168</v>
      </c>
      <c r="B263">
        <v>0.11700000000000001</v>
      </c>
      <c r="C263">
        <v>8.8099999999999998E-2</v>
      </c>
      <c r="D263">
        <v>1.47E-2</v>
      </c>
      <c r="E263">
        <v>5.4399999999999997E-2</v>
      </c>
      <c r="F263">
        <v>5.96E-2</v>
      </c>
      <c r="G263">
        <v>7.6499999999999999E-2</v>
      </c>
      <c r="H263">
        <v>5.67E-2</v>
      </c>
      <c r="P263">
        <f t="shared" si="20"/>
        <v>-0.93000000000002037</v>
      </c>
      <c r="Q263">
        <f t="shared" si="21"/>
        <v>1.9300000000000204</v>
      </c>
      <c r="R263">
        <f t="shared" si="18"/>
        <v>2.7018980529836076E-2</v>
      </c>
      <c r="S263">
        <f t="shared" si="19"/>
        <v>7.3154707429127584E-3</v>
      </c>
    </row>
    <row r="264" spans="1:19" x14ac:dyDescent="0.15">
      <c r="A264" s="4">
        <v>31199</v>
      </c>
      <c r="B264">
        <v>3.5299999999999998E-2</v>
      </c>
      <c r="C264">
        <v>1.6799999999999999E-2</v>
      </c>
      <c r="D264">
        <v>-5.4999999999999997E-3</v>
      </c>
      <c r="E264">
        <v>3.4700000000000002E-2</v>
      </c>
      <c r="F264">
        <v>3.9100000000000003E-2</v>
      </c>
      <c r="G264">
        <v>2.46E-2</v>
      </c>
      <c r="H264">
        <v>3.15E-2</v>
      </c>
      <c r="P264">
        <f t="shared" si="20"/>
        <v>-0.92000000000002036</v>
      </c>
      <c r="Q264">
        <f t="shared" si="21"/>
        <v>1.9200000000000204</v>
      </c>
      <c r="R264">
        <f t="shared" si="18"/>
        <v>2.694071325921054E-2</v>
      </c>
      <c r="S264">
        <f t="shared" si="19"/>
        <v>7.253632362956168E-3</v>
      </c>
    </row>
    <row r="265" spans="1:19" x14ac:dyDescent="0.15">
      <c r="A265" s="4">
        <v>31229</v>
      </c>
      <c r="B265">
        <v>-2.1399999999999999E-2</v>
      </c>
      <c r="C265">
        <v>1.9699999999999999E-2</v>
      </c>
      <c r="D265">
        <v>-1.32E-2</v>
      </c>
      <c r="E265">
        <v>3.5400000000000001E-2</v>
      </c>
      <c r="F265">
        <v>-4.1700000000000001E-2</v>
      </c>
      <c r="G265">
        <v>-1.06E-2</v>
      </c>
      <c r="H265">
        <v>-6.0000000000000001E-3</v>
      </c>
      <c r="P265">
        <f t="shared" si="20"/>
        <v>-0.91000000000002035</v>
      </c>
      <c r="Q265">
        <f t="shared" si="21"/>
        <v>1.9100000000000203</v>
      </c>
      <c r="R265">
        <f t="shared" si="18"/>
        <v>2.6862445988585015E-2</v>
      </c>
      <c r="S265">
        <f t="shared" si="19"/>
        <v>7.1921152213370136E-3</v>
      </c>
    </row>
    <row r="266" spans="1:19" x14ac:dyDescent="0.15">
      <c r="A266" s="4">
        <v>31260</v>
      </c>
      <c r="B266">
        <v>2.4E-2</v>
      </c>
      <c r="C266">
        <v>-1.9E-3</v>
      </c>
      <c r="D266">
        <v>2.93E-2</v>
      </c>
      <c r="E266">
        <v>-1.4999999999999999E-2</v>
      </c>
      <c r="F266">
        <v>2.0899999999999998E-2</v>
      </c>
      <c r="G266">
        <v>-4.7000000000000002E-3</v>
      </c>
      <c r="H266">
        <v>3.3E-3</v>
      </c>
      <c r="P266">
        <f t="shared" si="20"/>
        <v>-0.90000000000002034</v>
      </c>
      <c r="Q266">
        <f t="shared" si="21"/>
        <v>1.9000000000000203</v>
      </c>
      <c r="R266">
        <f t="shared" si="18"/>
        <v>2.6784178717959482E-2</v>
      </c>
      <c r="S266">
        <f t="shared" si="19"/>
        <v>7.130919318055296E-3</v>
      </c>
    </row>
    <row r="267" spans="1:19" x14ac:dyDescent="0.15">
      <c r="A267" s="4">
        <v>31291</v>
      </c>
      <c r="B267">
        <v>5.3600000000000002E-2</v>
      </c>
      <c r="C267">
        <v>-1.9900000000000001E-2</v>
      </c>
      <c r="D267">
        <v>-8.9999999999999993E-3</v>
      </c>
      <c r="E267">
        <v>-4.2799999999999998E-2</v>
      </c>
      <c r="F267">
        <v>-5.1299999999999998E-2</v>
      </c>
      <c r="G267">
        <v>-3.44E-2</v>
      </c>
      <c r="H267">
        <v>-3.2399999999999998E-2</v>
      </c>
      <c r="P267">
        <f t="shared" si="20"/>
        <v>-0.89000000000002033</v>
      </c>
      <c r="Q267">
        <f t="shared" si="21"/>
        <v>1.8900000000000203</v>
      </c>
      <c r="R267">
        <f t="shared" si="18"/>
        <v>2.6705911447333953E-2</v>
      </c>
      <c r="S267">
        <f t="shared" si="19"/>
        <v>7.0700446531110159E-3</v>
      </c>
    </row>
    <row r="268" spans="1:19" x14ac:dyDescent="0.15">
      <c r="A268" s="4">
        <v>31321</v>
      </c>
      <c r="B268">
        <v>4.87E-2</v>
      </c>
      <c r="C268">
        <v>6.3100000000000003E-2</v>
      </c>
      <c r="D268">
        <v>6.5100000000000005E-2</v>
      </c>
      <c r="E268">
        <v>1.7600000000000001E-2</v>
      </c>
      <c r="F268">
        <v>6.2600000000000003E-2</v>
      </c>
      <c r="G268">
        <v>6.3600000000000004E-2</v>
      </c>
      <c r="H268">
        <v>7.3999999999999996E-2</v>
      </c>
      <c r="P268">
        <f t="shared" si="20"/>
        <v>-0.88000000000002032</v>
      </c>
      <c r="Q268">
        <f t="shared" si="21"/>
        <v>1.8800000000000203</v>
      </c>
      <c r="R268">
        <f t="shared" si="18"/>
        <v>2.6627644176708418E-2</v>
      </c>
      <c r="S268">
        <f t="shared" si="19"/>
        <v>7.0094912265041727E-3</v>
      </c>
    </row>
    <row r="269" spans="1:19" x14ac:dyDescent="0.15">
      <c r="A269" s="4">
        <v>31352</v>
      </c>
      <c r="B269">
        <v>9.8199999999999996E-2</v>
      </c>
      <c r="C269">
        <v>9.1200000000000003E-2</v>
      </c>
      <c r="D269">
        <v>-6.6E-3</v>
      </c>
      <c r="E269">
        <v>0.12089999999999999</v>
      </c>
      <c r="F269">
        <v>4.41E-2</v>
      </c>
      <c r="G269">
        <v>8.5800000000000001E-2</v>
      </c>
      <c r="H269">
        <v>6.5500000000000003E-2</v>
      </c>
      <c r="P269">
        <f t="shared" si="20"/>
        <v>-0.87000000000002031</v>
      </c>
      <c r="Q269">
        <f t="shared" si="21"/>
        <v>1.8700000000000203</v>
      </c>
      <c r="R269">
        <f t="shared" si="18"/>
        <v>2.6549376906082892E-2</v>
      </c>
      <c r="S269">
        <f t="shared" si="19"/>
        <v>6.9492590382347671E-3</v>
      </c>
    </row>
    <row r="270" spans="1:19" x14ac:dyDescent="0.15">
      <c r="A270" s="4">
        <v>31382</v>
      </c>
      <c r="B270">
        <v>4.2000000000000003E-2</v>
      </c>
      <c r="C270">
        <v>4.58E-2</v>
      </c>
      <c r="D270">
        <v>-1.24E-2</v>
      </c>
      <c r="E270">
        <v>4.3400000000000001E-2</v>
      </c>
      <c r="F270">
        <v>5.0200000000000002E-2</v>
      </c>
      <c r="G270">
        <v>4.87E-2</v>
      </c>
      <c r="H270">
        <v>4.3499999999999997E-2</v>
      </c>
      <c r="P270">
        <f t="shared" si="20"/>
        <v>-0.8600000000000203</v>
      </c>
      <c r="Q270">
        <f t="shared" si="21"/>
        <v>1.8600000000000203</v>
      </c>
      <c r="R270">
        <f t="shared" si="18"/>
        <v>2.647110963545736E-2</v>
      </c>
      <c r="S270">
        <f t="shared" si="19"/>
        <v>6.8893480883027974E-3</v>
      </c>
    </row>
    <row r="271" spans="1:19" x14ac:dyDescent="0.15">
      <c r="A271" s="4">
        <v>31413</v>
      </c>
      <c r="B271">
        <v>1.0999999999999999E-2</v>
      </c>
      <c r="C271">
        <v>1.34E-2</v>
      </c>
      <c r="D271">
        <v>-7.0599999999999996E-2</v>
      </c>
      <c r="E271">
        <v>3.4299999999999997E-2</v>
      </c>
      <c r="F271">
        <v>4.1399999999999999E-2</v>
      </c>
      <c r="G271">
        <v>2.3199999999999998E-2</v>
      </c>
      <c r="H271">
        <v>3.0700000000000002E-2</v>
      </c>
      <c r="P271">
        <f t="shared" si="20"/>
        <v>-0.85000000000002029</v>
      </c>
      <c r="Q271">
        <f t="shared" si="21"/>
        <v>1.8500000000000203</v>
      </c>
      <c r="R271">
        <f t="shared" si="18"/>
        <v>2.6392842364831831E-2</v>
      </c>
      <c r="S271">
        <f t="shared" si="19"/>
        <v>6.8297583767082618E-3</v>
      </c>
    </row>
    <row r="272" spans="1:19" x14ac:dyDescent="0.15">
      <c r="A272" s="4">
        <v>31444</v>
      </c>
      <c r="B272">
        <v>9.1999999999999998E-2</v>
      </c>
      <c r="C272">
        <v>0.10349999999999999</v>
      </c>
      <c r="D272">
        <v>2.1600000000000001E-2</v>
      </c>
      <c r="E272">
        <v>8.9399999999999993E-2</v>
      </c>
      <c r="F272">
        <v>6.9699999999999998E-2</v>
      </c>
      <c r="G272">
        <v>9.4600000000000004E-2</v>
      </c>
      <c r="H272">
        <v>8.7900000000000006E-2</v>
      </c>
      <c r="P272">
        <f t="shared" si="20"/>
        <v>-0.84000000000002029</v>
      </c>
      <c r="Q272">
        <f t="shared" si="21"/>
        <v>1.8400000000000203</v>
      </c>
      <c r="R272">
        <f t="shared" si="18"/>
        <v>2.6314575094206295E-2</v>
      </c>
      <c r="S272">
        <f t="shared" si="19"/>
        <v>6.7704899034511674E-3</v>
      </c>
    </row>
    <row r="273" spans="1:19" x14ac:dyDescent="0.15">
      <c r="A273" s="4">
        <v>31472</v>
      </c>
      <c r="B273">
        <v>8.5500000000000007E-2</v>
      </c>
      <c r="C273">
        <v>9.6799999999999997E-2</v>
      </c>
      <c r="D273">
        <v>2.3099999999999999E-2</v>
      </c>
      <c r="E273">
        <v>6.4000000000000001E-2</v>
      </c>
      <c r="F273">
        <v>4.4499999999999998E-2</v>
      </c>
      <c r="G273">
        <v>9.0499999999999997E-2</v>
      </c>
      <c r="H273">
        <v>6.1499999999999999E-2</v>
      </c>
      <c r="P273">
        <f t="shared" si="20"/>
        <v>-0.83000000000002028</v>
      </c>
      <c r="Q273">
        <f t="shared" si="21"/>
        <v>1.8300000000000203</v>
      </c>
      <c r="R273">
        <f t="shared" si="18"/>
        <v>2.623630782358077E-2</v>
      </c>
      <c r="S273">
        <f t="shared" si="19"/>
        <v>6.711542668531508E-3</v>
      </c>
    </row>
    <row r="274" spans="1:19" x14ac:dyDescent="0.15">
      <c r="A274" s="4">
        <v>31503</v>
      </c>
      <c r="B274">
        <v>1.6E-2</v>
      </c>
      <c r="C274">
        <v>7.4999999999999997E-3</v>
      </c>
      <c r="D274">
        <v>1.14E-2</v>
      </c>
      <c r="E274">
        <v>2.1000000000000001E-2</v>
      </c>
      <c r="F274">
        <v>-3.8199999999999998E-2</v>
      </c>
      <c r="G274">
        <v>1.38E-2</v>
      </c>
      <c r="H274">
        <v>-1.72E-2</v>
      </c>
      <c r="P274">
        <f t="shared" si="20"/>
        <v>-0.82000000000002027</v>
      </c>
      <c r="Q274">
        <f t="shared" si="21"/>
        <v>1.8200000000000203</v>
      </c>
      <c r="R274">
        <f t="shared" si="18"/>
        <v>2.6158040552955238E-2</v>
      </c>
      <c r="S274">
        <f t="shared" si="19"/>
        <v>6.6529166719492862E-3</v>
      </c>
    </row>
    <row r="275" spans="1:19" x14ac:dyDescent="0.15">
      <c r="A275" s="4">
        <v>31533</v>
      </c>
      <c r="B275">
        <v>8.5300000000000001E-2</v>
      </c>
      <c r="C275">
        <v>7.6300000000000007E-2</v>
      </c>
      <c r="D275">
        <v>7.1999999999999995E-2</v>
      </c>
      <c r="E275">
        <v>4.7E-2</v>
      </c>
      <c r="F275">
        <v>4.0500000000000001E-2</v>
      </c>
      <c r="G275">
        <v>9.9299999999999999E-2</v>
      </c>
      <c r="H275">
        <v>5.4100000000000002E-2</v>
      </c>
      <c r="P275">
        <f t="shared" si="20"/>
        <v>-0.81000000000002026</v>
      </c>
      <c r="Q275">
        <f t="shared" si="21"/>
        <v>1.8100000000000203</v>
      </c>
      <c r="R275">
        <f t="shared" si="18"/>
        <v>2.6079773282329709E-2</v>
      </c>
      <c r="S275">
        <f t="shared" si="19"/>
        <v>6.5946119137044994E-3</v>
      </c>
    </row>
    <row r="276" spans="1:19" x14ac:dyDescent="0.15">
      <c r="A276" s="4">
        <v>31564</v>
      </c>
      <c r="B276">
        <v>7.3800000000000004E-2</v>
      </c>
      <c r="C276">
        <v>5.04E-2</v>
      </c>
      <c r="D276">
        <v>-1.54E-2</v>
      </c>
      <c r="E276">
        <v>-1.8E-3</v>
      </c>
      <c r="F276">
        <v>5.16E-2</v>
      </c>
      <c r="G276">
        <v>2.5700000000000001E-2</v>
      </c>
      <c r="H276">
        <v>2.76E-2</v>
      </c>
      <c r="P276">
        <f t="shared" si="20"/>
        <v>-0.80000000000002025</v>
      </c>
      <c r="Q276">
        <f t="shared" si="21"/>
        <v>1.8000000000000203</v>
      </c>
      <c r="R276">
        <f t="shared" si="18"/>
        <v>2.6001506011704176E-2</v>
      </c>
      <c r="S276">
        <f t="shared" si="19"/>
        <v>6.5366283937971521E-3</v>
      </c>
    </row>
    <row r="277" spans="1:19" x14ac:dyDescent="0.15">
      <c r="A277" s="4">
        <v>31594</v>
      </c>
      <c r="B277">
        <v>-4.4200000000000003E-2</v>
      </c>
      <c r="C277">
        <v>-5.2400000000000002E-2</v>
      </c>
      <c r="D277">
        <v>-3.5700000000000003E-2</v>
      </c>
      <c r="E277">
        <v>-6.2E-2</v>
      </c>
      <c r="F277">
        <v>5.2999999999999999E-2</v>
      </c>
      <c r="G277">
        <v>-7.9100000000000004E-2</v>
      </c>
      <c r="H277">
        <v>-4.4499999999999998E-2</v>
      </c>
      <c r="P277">
        <f t="shared" si="20"/>
        <v>-0.79000000000002024</v>
      </c>
      <c r="Q277">
        <f t="shared" si="21"/>
        <v>1.7900000000000202</v>
      </c>
      <c r="R277">
        <f t="shared" si="18"/>
        <v>2.5923238741078651E-2</v>
      </c>
      <c r="S277">
        <f t="shared" si="19"/>
        <v>6.4789661122272389E-3</v>
      </c>
    </row>
    <row r="278" spans="1:19" x14ac:dyDescent="0.15">
      <c r="A278" s="4">
        <v>31625</v>
      </c>
      <c r="B278">
        <v>2.9100000000000001E-2</v>
      </c>
      <c r="C278">
        <v>4.3400000000000001E-2</v>
      </c>
      <c r="D278">
        <v>0.17660000000000001</v>
      </c>
      <c r="E278">
        <v>7.6399999999999996E-2</v>
      </c>
      <c r="F278">
        <v>8.2400000000000001E-2</v>
      </c>
      <c r="G278">
        <v>3.0099999999999998E-2</v>
      </c>
      <c r="H278">
        <v>8.4000000000000005E-2</v>
      </c>
      <c r="P278">
        <f t="shared" si="20"/>
        <v>-0.78000000000002023</v>
      </c>
      <c r="Q278">
        <f t="shared" si="21"/>
        <v>1.7800000000000202</v>
      </c>
      <c r="R278">
        <f t="shared" si="18"/>
        <v>2.5844971470453115E-2</v>
      </c>
      <c r="S278">
        <f t="shared" si="19"/>
        <v>6.4216250689947633E-3</v>
      </c>
    </row>
    <row r="279" spans="1:19" x14ac:dyDescent="0.15">
      <c r="A279" s="4">
        <v>31656</v>
      </c>
      <c r="B279">
        <v>-0.1085</v>
      </c>
      <c r="C279">
        <v>-0.1017</v>
      </c>
      <c r="D279">
        <v>-3.0000000000000001E-3</v>
      </c>
      <c r="E279">
        <v>-9.3700000000000006E-2</v>
      </c>
      <c r="F279">
        <v>-8.9099999999999999E-2</v>
      </c>
      <c r="G279">
        <v>-8.4500000000000006E-2</v>
      </c>
      <c r="H279">
        <v>-8.6499999999999994E-2</v>
      </c>
      <c r="P279">
        <f t="shared" si="20"/>
        <v>-0.77000000000002022</v>
      </c>
      <c r="Q279">
        <f t="shared" si="21"/>
        <v>1.7700000000000202</v>
      </c>
      <c r="R279">
        <f t="shared" si="18"/>
        <v>2.5766704199827586E-2</v>
      </c>
      <c r="S279">
        <f t="shared" si="19"/>
        <v>6.3646052640997271E-3</v>
      </c>
    </row>
    <row r="280" spans="1:19" x14ac:dyDescent="0.15">
      <c r="A280" s="4">
        <v>31686</v>
      </c>
      <c r="B280">
        <v>0.11</v>
      </c>
      <c r="C280">
        <v>8.5999999999999993E-2</v>
      </c>
      <c r="D280">
        <v>2.0500000000000001E-2</v>
      </c>
      <c r="E280">
        <v>8.43E-2</v>
      </c>
      <c r="F280">
        <v>5.9700000000000003E-2</v>
      </c>
      <c r="G280">
        <v>8.2100000000000006E-2</v>
      </c>
      <c r="H280">
        <v>3.49E-2</v>
      </c>
      <c r="P280">
        <f t="shared" si="20"/>
        <v>-0.76000000000002021</v>
      </c>
      <c r="Q280">
        <f t="shared" si="21"/>
        <v>1.7600000000000202</v>
      </c>
      <c r="R280">
        <f t="shared" si="18"/>
        <v>2.5688436929202054E-2</v>
      </c>
      <c r="S280">
        <f t="shared" si="19"/>
        <v>6.3079066975421242E-3</v>
      </c>
    </row>
    <row r="281" spans="1:19" x14ac:dyDescent="0.15">
      <c r="A281" s="4">
        <v>31717</v>
      </c>
      <c r="B281">
        <v>6.1999999999999998E-3</v>
      </c>
      <c r="C281">
        <v>3.3399999999999999E-2</v>
      </c>
      <c r="D281">
        <v>3.4799999999999998E-2</v>
      </c>
      <c r="E281">
        <v>5.2200000000000003E-2</v>
      </c>
      <c r="F281">
        <v>8.5000000000000006E-3</v>
      </c>
      <c r="G281">
        <v>1.35E-2</v>
      </c>
      <c r="H281">
        <v>2.9999999999999997E-4</v>
      </c>
      <c r="P281">
        <f t="shared" si="20"/>
        <v>-0.75000000000002021</v>
      </c>
      <c r="Q281">
        <f t="shared" si="21"/>
        <v>1.7500000000000202</v>
      </c>
      <c r="R281">
        <f t="shared" si="18"/>
        <v>2.5610169658576529E-2</v>
      </c>
      <c r="S281">
        <f t="shared" si="19"/>
        <v>6.2515293693219589E-3</v>
      </c>
    </row>
    <row r="282" spans="1:19" x14ac:dyDescent="0.15">
      <c r="A282" s="4">
        <v>31747</v>
      </c>
      <c r="B282">
        <v>-2.9000000000000001E-2</v>
      </c>
      <c r="C282">
        <v>-5.4000000000000003E-3</v>
      </c>
      <c r="D282">
        <v>1.0200000000000001E-2</v>
      </c>
      <c r="E282">
        <v>-1.4200000000000001E-2</v>
      </c>
      <c r="F282">
        <v>-3.09E-2</v>
      </c>
      <c r="G282">
        <v>-4.8399999999999999E-2</v>
      </c>
      <c r="H282">
        <v>-1.37E-2</v>
      </c>
      <c r="P282">
        <f t="shared" si="20"/>
        <v>-0.7400000000000202</v>
      </c>
      <c r="Q282">
        <f t="shared" si="21"/>
        <v>1.7400000000000202</v>
      </c>
      <c r="R282">
        <f t="shared" si="18"/>
        <v>2.5531902387950993E-2</v>
      </c>
      <c r="S282">
        <f t="shared" si="19"/>
        <v>6.1954732794392304E-3</v>
      </c>
    </row>
    <row r="283" spans="1:19" x14ac:dyDescent="0.15">
      <c r="A283" s="4">
        <v>31778</v>
      </c>
      <c r="B283">
        <v>0.1399</v>
      </c>
      <c r="C283">
        <v>0.15010000000000001</v>
      </c>
      <c r="D283">
        <v>0.13930000000000001</v>
      </c>
      <c r="E283">
        <v>0.15010000000000001</v>
      </c>
      <c r="F283">
        <v>0.1021</v>
      </c>
      <c r="G283">
        <v>0.11840000000000001</v>
      </c>
      <c r="H283">
        <v>0.1085</v>
      </c>
      <c r="P283">
        <f t="shared" si="20"/>
        <v>-0.73000000000002019</v>
      </c>
      <c r="Q283">
        <f t="shared" si="21"/>
        <v>1.7300000000000202</v>
      </c>
      <c r="R283">
        <f t="shared" si="18"/>
        <v>2.5453635117325464E-2</v>
      </c>
      <c r="S283">
        <f t="shared" si="19"/>
        <v>6.1397384278939413E-3</v>
      </c>
    </row>
    <row r="284" spans="1:19" x14ac:dyDescent="0.15">
      <c r="A284" s="4">
        <v>31809</v>
      </c>
      <c r="B284">
        <v>4.5600000000000002E-2</v>
      </c>
      <c r="C284">
        <v>9.1800000000000007E-2</v>
      </c>
      <c r="D284">
        <v>-2.76E-2</v>
      </c>
      <c r="E284">
        <v>8.8499999999999995E-2</v>
      </c>
      <c r="F284">
        <v>-1.46E-2</v>
      </c>
      <c r="G284">
        <v>9.2100000000000001E-2</v>
      </c>
      <c r="H284">
        <v>3.9699999999999999E-2</v>
      </c>
      <c r="P284">
        <f t="shared" si="20"/>
        <v>-0.72000000000002018</v>
      </c>
      <c r="Q284">
        <f t="shared" si="21"/>
        <v>1.7200000000000202</v>
      </c>
      <c r="R284">
        <f t="shared" si="18"/>
        <v>2.5375367846699942E-2</v>
      </c>
      <c r="S284">
        <f t="shared" si="19"/>
        <v>6.0843248146860872E-3</v>
      </c>
    </row>
    <row r="285" spans="1:19" x14ac:dyDescent="0.15">
      <c r="A285" s="4">
        <v>31837</v>
      </c>
      <c r="B285">
        <v>2.9399999999999999E-2</v>
      </c>
      <c r="C285">
        <v>2.4400000000000002E-2</v>
      </c>
      <c r="D285">
        <v>0.1401</v>
      </c>
      <c r="E285">
        <v>9.5999999999999992E-3</v>
      </c>
      <c r="F285">
        <v>-4.5999999999999999E-3</v>
      </c>
      <c r="G285">
        <v>0.03</v>
      </c>
      <c r="H285">
        <v>1.2E-2</v>
      </c>
      <c r="P285">
        <f t="shared" si="20"/>
        <v>-0.71000000000002017</v>
      </c>
      <c r="Q285">
        <f t="shared" si="21"/>
        <v>1.7100000000000202</v>
      </c>
      <c r="R285">
        <f t="shared" si="18"/>
        <v>2.5297100576074406E-2</v>
      </c>
      <c r="S285">
        <f t="shared" si="19"/>
        <v>6.0292324398156689E-3</v>
      </c>
    </row>
    <row r="286" spans="1:19" x14ac:dyDescent="0.15">
      <c r="A286" s="4">
        <v>31868</v>
      </c>
      <c r="B286">
        <v>-4.4600000000000001E-2</v>
      </c>
      <c r="C286">
        <v>-6.1999999999999998E-3</v>
      </c>
      <c r="D286">
        <v>3.8999999999999998E-3</v>
      </c>
      <c r="E286">
        <v>-8.5000000000000006E-3</v>
      </c>
      <c r="F286">
        <v>-4.1399999999999999E-2</v>
      </c>
      <c r="G286">
        <v>-3.0599999999999999E-2</v>
      </c>
      <c r="H286">
        <v>-3.4200000000000001E-2</v>
      </c>
      <c r="P286">
        <f t="shared" si="20"/>
        <v>-0.70000000000002016</v>
      </c>
      <c r="Q286">
        <f t="shared" si="21"/>
        <v>1.7000000000000202</v>
      </c>
      <c r="R286">
        <f t="shared" si="18"/>
        <v>2.5218833305448878E-2</v>
      </c>
      <c r="S286">
        <f t="shared" si="19"/>
        <v>5.9744613032826892E-3</v>
      </c>
    </row>
    <row r="287" spans="1:19" x14ac:dyDescent="0.15">
      <c r="A287" s="4">
        <v>31898</v>
      </c>
      <c r="B287">
        <v>3.3099999999999997E-2</v>
      </c>
      <c r="C287">
        <v>1.44E-2</v>
      </c>
      <c r="D287">
        <v>3.0700000000000002E-2</v>
      </c>
      <c r="E287">
        <v>4.07E-2</v>
      </c>
      <c r="F287">
        <v>-6.1000000000000004E-3</v>
      </c>
      <c r="G287">
        <v>2.8E-3</v>
      </c>
      <c r="H287">
        <v>3.7000000000000002E-3</v>
      </c>
      <c r="P287">
        <f t="shared" si="20"/>
        <v>-0.69000000000002015</v>
      </c>
      <c r="Q287">
        <f t="shared" si="21"/>
        <v>1.6900000000000202</v>
      </c>
      <c r="R287">
        <f t="shared" si="18"/>
        <v>2.5140566034823345E-2</v>
      </c>
      <c r="S287">
        <f t="shared" si="19"/>
        <v>5.9200114050871463E-3</v>
      </c>
    </row>
    <row r="288" spans="1:19" x14ac:dyDescent="0.15">
      <c r="A288" s="4">
        <v>31929</v>
      </c>
      <c r="B288">
        <v>6.54E-2</v>
      </c>
      <c r="C288">
        <v>5.1200000000000002E-2</v>
      </c>
      <c r="D288">
        <v>6.9400000000000003E-2</v>
      </c>
      <c r="E288">
        <v>3.8300000000000001E-2</v>
      </c>
      <c r="F288">
        <v>2.7699999999999999E-2</v>
      </c>
      <c r="G288">
        <v>6.1899999999999997E-2</v>
      </c>
      <c r="H288">
        <v>5.2299999999999999E-2</v>
      </c>
      <c r="P288">
        <f t="shared" si="20"/>
        <v>-0.68000000000002014</v>
      </c>
      <c r="Q288">
        <f t="shared" si="21"/>
        <v>1.6800000000000201</v>
      </c>
      <c r="R288">
        <f t="shared" si="18"/>
        <v>2.506229876419782E-2</v>
      </c>
      <c r="S288">
        <f t="shared" si="19"/>
        <v>5.8658827452290367E-3</v>
      </c>
    </row>
    <row r="289" spans="1:19" x14ac:dyDescent="0.15">
      <c r="A289" s="4">
        <v>31959</v>
      </c>
      <c r="B289">
        <v>3.9600000000000003E-2</v>
      </c>
      <c r="C289">
        <v>5.91E-2</v>
      </c>
      <c r="D289">
        <v>2.8000000000000001E-2</v>
      </c>
      <c r="E289">
        <v>3.1E-2</v>
      </c>
      <c r="F289">
        <v>3.2000000000000002E-3</v>
      </c>
      <c r="G289">
        <v>6.0699999999999997E-2</v>
      </c>
      <c r="H289">
        <v>2.5000000000000001E-2</v>
      </c>
      <c r="P289">
        <f t="shared" si="20"/>
        <v>-0.67000000000002014</v>
      </c>
      <c r="Q289">
        <f t="shared" si="21"/>
        <v>1.6700000000000201</v>
      </c>
      <c r="R289">
        <f t="shared" si="18"/>
        <v>2.4984031493572284E-2</v>
      </c>
      <c r="S289">
        <f t="shared" si="19"/>
        <v>5.812075323708369E-3</v>
      </c>
    </row>
    <row r="290" spans="1:19" x14ac:dyDescent="0.15">
      <c r="A290" s="4">
        <v>31990</v>
      </c>
      <c r="B290">
        <v>2.9600000000000001E-2</v>
      </c>
      <c r="C290">
        <v>2.8500000000000001E-2</v>
      </c>
      <c r="D290">
        <v>2.1299999999999999E-2</v>
      </c>
      <c r="E290">
        <v>6.7799999999999999E-2</v>
      </c>
      <c r="F290">
        <v>3.7400000000000003E-2</v>
      </c>
      <c r="G290">
        <v>3.1399999999999997E-2</v>
      </c>
      <c r="H290">
        <v>4.3299999999999998E-2</v>
      </c>
      <c r="P290">
        <f t="shared" si="20"/>
        <v>-0.66000000000002013</v>
      </c>
      <c r="Q290">
        <f t="shared" si="21"/>
        <v>1.6600000000000201</v>
      </c>
      <c r="R290">
        <f t="shared" si="18"/>
        <v>2.4905764222946755E-2</v>
      </c>
      <c r="S290">
        <f t="shared" si="19"/>
        <v>5.7585891405251338E-3</v>
      </c>
    </row>
    <row r="291" spans="1:19" x14ac:dyDescent="0.15">
      <c r="A291" s="4">
        <v>32021</v>
      </c>
      <c r="B291">
        <v>-2.35E-2</v>
      </c>
      <c r="C291">
        <v>-1.0200000000000001E-2</v>
      </c>
      <c r="D291">
        <v>-3.8800000000000001E-2</v>
      </c>
      <c r="E291">
        <v>-2.5000000000000001E-3</v>
      </c>
      <c r="F291">
        <v>-2.12E-2</v>
      </c>
      <c r="G291">
        <v>-4.4699999999999997E-2</v>
      </c>
      <c r="H291">
        <v>-1.78E-2</v>
      </c>
      <c r="P291">
        <f t="shared" si="20"/>
        <v>-0.65000000000002012</v>
      </c>
      <c r="Q291">
        <f t="shared" si="21"/>
        <v>1.6500000000000201</v>
      </c>
      <c r="R291">
        <f t="shared" si="18"/>
        <v>2.4827496952321223E-2</v>
      </c>
      <c r="S291">
        <f t="shared" si="19"/>
        <v>5.7054241956793388E-3</v>
      </c>
    </row>
    <row r="292" spans="1:19" x14ac:dyDescent="0.15">
      <c r="A292" s="4">
        <v>32051</v>
      </c>
      <c r="B292">
        <v>-0.1719</v>
      </c>
      <c r="C292">
        <v>-0.2117</v>
      </c>
      <c r="D292">
        <v>-0.15809999999999999</v>
      </c>
      <c r="E292">
        <v>-0.23699999999999999</v>
      </c>
      <c r="F292">
        <v>-7.8600000000000003E-2</v>
      </c>
      <c r="G292">
        <v>-0.26440000000000002</v>
      </c>
      <c r="H292">
        <v>-0.1835</v>
      </c>
      <c r="P292">
        <f t="shared" si="20"/>
        <v>-0.64000000000002011</v>
      </c>
      <c r="Q292">
        <f t="shared" si="21"/>
        <v>1.6400000000000201</v>
      </c>
      <c r="R292">
        <f t="shared" si="18"/>
        <v>2.4749229681695697E-2</v>
      </c>
      <c r="S292">
        <f t="shared" si="19"/>
        <v>5.6525804891709788E-3</v>
      </c>
    </row>
    <row r="293" spans="1:19" x14ac:dyDescent="0.15">
      <c r="A293" s="4">
        <v>32082</v>
      </c>
      <c r="B293">
        <v>-7.4700000000000003E-2</v>
      </c>
      <c r="C293">
        <v>-0.08</v>
      </c>
      <c r="D293">
        <v>-0.12089999999999999</v>
      </c>
      <c r="E293">
        <v>-8.9099999999999999E-2</v>
      </c>
      <c r="F293">
        <v>-2.8199999999999999E-2</v>
      </c>
      <c r="G293">
        <v>-6.4500000000000002E-2</v>
      </c>
      <c r="H293">
        <v>-5.7200000000000001E-2</v>
      </c>
      <c r="P293">
        <f t="shared" si="20"/>
        <v>-0.6300000000000201</v>
      </c>
      <c r="Q293">
        <f t="shared" si="21"/>
        <v>1.6300000000000201</v>
      </c>
      <c r="R293">
        <f t="shared" si="18"/>
        <v>2.4670962411070162E-2</v>
      </c>
      <c r="S293">
        <f t="shared" si="19"/>
        <v>5.6000580210000565E-3</v>
      </c>
    </row>
    <row r="294" spans="1:19" x14ac:dyDescent="0.15">
      <c r="A294" s="4">
        <v>32112</v>
      </c>
      <c r="B294">
        <v>0.08</v>
      </c>
      <c r="C294">
        <v>9.4399999999999998E-2</v>
      </c>
      <c r="D294">
        <v>8.3400000000000002E-2</v>
      </c>
      <c r="E294">
        <v>0.1231</v>
      </c>
      <c r="F294">
        <v>2.1899999999999999E-2</v>
      </c>
      <c r="G294">
        <v>0.1091</v>
      </c>
      <c r="H294">
        <v>4.6100000000000002E-2</v>
      </c>
      <c r="P294">
        <f t="shared" si="20"/>
        <v>-0.62000000000002009</v>
      </c>
      <c r="Q294">
        <f t="shared" si="21"/>
        <v>1.6200000000000201</v>
      </c>
      <c r="R294">
        <f t="shared" si="18"/>
        <v>2.4592695140444636E-2</v>
      </c>
      <c r="S294">
        <f t="shared" si="19"/>
        <v>5.5478567911665718E-3</v>
      </c>
    </row>
    <row r="295" spans="1:19" x14ac:dyDescent="0.15">
      <c r="A295" s="4">
        <v>32143</v>
      </c>
      <c r="B295">
        <v>3.1E-2</v>
      </c>
      <c r="C295">
        <v>4.6899999999999997E-2</v>
      </c>
      <c r="D295">
        <v>8.8099999999999998E-2</v>
      </c>
      <c r="E295">
        <v>4.4000000000000003E-3</v>
      </c>
      <c r="F295">
        <v>8.8700000000000001E-2</v>
      </c>
      <c r="G295">
        <v>3.4000000000000002E-2</v>
      </c>
      <c r="H295">
        <v>8.5300000000000001E-2</v>
      </c>
      <c r="P295">
        <f t="shared" si="20"/>
        <v>-0.61000000000002008</v>
      </c>
      <c r="Q295">
        <f t="shared" si="21"/>
        <v>1.6100000000000201</v>
      </c>
      <c r="R295">
        <f t="shared" si="18"/>
        <v>2.4514427869819101E-2</v>
      </c>
      <c r="S295">
        <f t="shared" si="19"/>
        <v>5.4959767996705221E-3</v>
      </c>
    </row>
    <row r="296" spans="1:19" x14ac:dyDescent="0.15">
      <c r="A296" s="4">
        <v>32174</v>
      </c>
      <c r="B296">
        <v>4.5999999999999999E-2</v>
      </c>
      <c r="C296">
        <v>5.0599999999999999E-2</v>
      </c>
      <c r="D296">
        <v>3.6400000000000002E-2</v>
      </c>
      <c r="E296">
        <v>7.1499999999999994E-2</v>
      </c>
      <c r="F296">
        <v>-9.4000000000000004E-3</v>
      </c>
      <c r="G296">
        <v>0.1042</v>
      </c>
      <c r="H296">
        <v>2.8500000000000001E-2</v>
      </c>
      <c r="P296">
        <f t="shared" si="20"/>
        <v>-0.60000000000002007</v>
      </c>
      <c r="Q296">
        <f t="shared" si="21"/>
        <v>1.6000000000000201</v>
      </c>
      <c r="R296">
        <f t="shared" si="18"/>
        <v>2.4436160599193575E-2</v>
      </c>
      <c r="S296">
        <f t="shared" si="19"/>
        <v>5.4444180465119101E-3</v>
      </c>
    </row>
    <row r="297" spans="1:19" x14ac:dyDescent="0.15">
      <c r="A297" s="4">
        <v>32203</v>
      </c>
      <c r="B297">
        <v>-9.2999999999999992E-3</v>
      </c>
      <c r="C297">
        <v>-2.7900000000000001E-2</v>
      </c>
      <c r="D297">
        <v>3.5099999999999999E-2</v>
      </c>
      <c r="E297">
        <v>-8.6999999999999994E-3</v>
      </c>
      <c r="F297">
        <v>-2.8000000000000001E-2</v>
      </c>
      <c r="G297">
        <v>1.0699999999999999E-2</v>
      </c>
      <c r="H297">
        <v>-1.1599999999999999E-2</v>
      </c>
      <c r="P297">
        <f t="shared" si="20"/>
        <v>-0.59000000000002006</v>
      </c>
      <c r="Q297">
        <f t="shared" si="21"/>
        <v>1.5900000000000201</v>
      </c>
      <c r="R297">
        <f t="shared" si="18"/>
        <v>2.4357893328568039E-2</v>
      </c>
      <c r="S297">
        <f t="shared" si="19"/>
        <v>5.393180531690734E-3</v>
      </c>
    </row>
    <row r="298" spans="1:19" x14ac:dyDescent="0.15">
      <c r="A298" s="4">
        <v>32234</v>
      </c>
      <c r="B298">
        <v>4.8999999999999998E-3</v>
      </c>
      <c r="C298">
        <v>1E-3</v>
      </c>
      <c r="D298">
        <v>5.2999999999999999E-2</v>
      </c>
      <c r="E298">
        <v>-3.3E-3</v>
      </c>
      <c r="F298">
        <v>-1.1000000000000001E-3</v>
      </c>
      <c r="G298">
        <v>2.9100000000000001E-2</v>
      </c>
      <c r="H298">
        <v>8.0999999999999996E-3</v>
      </c>
      <c r="P298">
        <f t="shared" si="20"/>
        <v>-0.58000000000002006</v>
      </c>
      <c r="Q298">
        <f t="shared" si="21"/>
        <v>1.5800000000000201</v>
      </c>
      <c r="R298">
        <f t="shared" si="18"/>
        <v>2.427962605794251E-2</v>
      </c>
      <c r="S298">
        <f t="shared" si="19"/>
        <v>5.3422642552069955E-3</v>
      </c>
    </row>
    <row r="299" spans="1:19" x14ac:dyDescent="0.15">
      <c r="A299" s="4">
        <v>32264</v>
      </c>
      <c r="B299">
        <v>2.0000000000000001E-4</v>
      </c>
      <c r="C299">
        <v>-3.8E-3</v>
      </c>
      <c r="D299">
        <v>-3.3E-3</v>
      </c>
      <c r="E299">
        <v>-4.1999999999999997E-3</v>
      </c>
      <c r="F299">
        <v>3.1699999999999999E-2</v>
      </c>
      <c r="G299">
        <v>-1.43E-2</v>
      </c>
      <c r="H299">
        <v>1.6299999999999999E-2</v>
      </c>
      <c r="P299">
        <f t="shared" si="20"/>
        <v>-0.57000000000002005</v>
      </c>
      <c r="Q299">
        <f t="shared" si="21"/>
        <v>1.57000000000002</v>
      </c>
      <c r="R299">
        <f t="shared" si="18"/>
        <v>2.4201358787316982E-2</v>
      </c>
      <c r="S299">
        <f t="shared" si="19"/>
        <v>5.2916692170606947E-3</v>
      </c>
    </row>
    <row r="300" spans="1:19" x14ac:dyDescent="0.15">
      <c r="A300" s="4">
        <v>32295</v>
      </c>
      <c r="B300">
        <v>2.1899999999999999E-2</v>
      </c>
      <c r="C300">
        <v>5.2499999999999998E-2</v>
      </c>
      <c r="D300">
        <v>-2.1000000000000001E-2</v>
      </c>
      <c r="E300">
        <v>5.0299999999999997E-2</v>
      </c>
      <c r="F300">
        <v>3.7900000000000003E-2</v>
      </c>
      <c r="G300">
        <v>8.5999999999999993E-2</v>
      </c>
      <c r="H300">
        <v>4.2999999999999997E-2</v>
      </c>
      <c r="P300">
        <f t="shared" si="20"/>
        <v>-0.56000000000002004</v>
      </c>
      <c r="Q300">
        <f t="shared" si="21"/>
        <v>1.56000000000002</v>
      </c>
      <c r="R300">
        <f t="shared" si="18"/>
        <v>2.4123091516691453E-2</v>
      </c>
      <c r="S300">
        <f t="shared" si="19"/>
        <v>5.2413954172518297E-3</v>
      </c>
    </row>
    <row r="301" spans="1:19" x14ac:dyDescent="0.15">
      <c r="A301" s="4">
        <v>32325</v>
      </c>
      <c r="B301">
        <v>5.1999999999999998E-3</v>
      </c>
      <c r="C301">
        <v>-8.3999999999999995E-3</v>
      </c>
      <c r="D301">
        <v>4.4299999999999999E-2</v>
      </c>
      <c r="E301">
        <v>-5.0000000000000001E-4</v>
      </c>
      <c r="F301">
        <v>-4.0000000000000001E-3</v>
      </c>
      <c r="G301">
        <v>-2.4799999999999999E-2</v>
      </c>
      <c r="H301">
        <v>0.01</v>
      </c>
      <c r="P301">
        <f t="shared" si="20"/>
        <v>-0.55000000000002003</v>
      </c>
      <c r="Q301">
        <f t="shared" si="21"/>
        <v>1.55000000000002</v>
      </c>
      <c r="R301">
        <f t="shared" si="18"/>
        <v>2.4044824246065924E-2</v>
      </c>
      <c r="S301">
        <f t="shared" si="19"/>
        <v>5.1914428557804024E-3</v>
      </c>
    </row>
    <row r="302" spans="1:19" x14ac:dyDescent="0.15">
      <c r="A302" s="4">
        <v>32356</v>
      </c>
      <c r="B302">
        <v>1.4E-3</v>
      </c>
      <c r="C302">
        <v>-2.1000000000000001E-2</v>
      </c>
      <c r="D302">
        <v>-1.5800000000000002E-2</v>
      </c>
      <c r="E302">
        <v>-1.8200000000000001E-2</v>
      </c>
      <c r="F302">
        <v>1.1000000000000001E-3</v>
      </c>
      <c r="G302">
        <v>-2.23E-2</v>
      </c>
      <c r="H302">
        <v>-8.9999999999999993E-3</v>
      </c>
      <c r="P302">
        <f t="shared" si="20"/>
        <v>-0.54000000000002002</v>
      </c>
      <c r="Q302">
        <f t="shared" si="21"/>
        <v>1.54000000000002</v>
      </c>
      <c r="R302">
        <f t="shared" si="18"/>
        <v>2.3966556975440392E-2</v>
      </c>
      <c r="S302">
        <f t="shared" si="19"/>
        <v>5.1418115326464101E-3</v>
      </c>
    </row>
    <row r="303" spans="1:19" x14ac:dyDescent="0.15">
      <c r="A303" s="4">
        <v>32387</v>
      </c>
      <c r="B303">
        <v>6.7799999999999999E-2</v>
      </c>
      <c r="C303">
        <v>3.44E-2</v>
      </c>
      <c r="D303">
        <v>-2.5999999999999999E-2</v>
      </c>
      <c r="E303">
        <v>4.9000000000000002E-2</v>
      </c>
      <c r="F303">
        <v>3.6700000000000003E-2</v>
      </c>
      <c r="G303">
        <v>8.6699999999999999E-2</v>
      </c>
      <c r="H303">
        <v>3.7900000000000003E-2</v>
      </c>
      <c r="P303">
        <f t="shared" si="20"/>
        <v>-0.53000000000002001</v>
      </c>
      <c r="Q303">
        <f t="shared" si="21"/>
        <v>1.53000000000002</v>
      </c>
      <c r="R303">
        <f t="shared" si="18"/>
        <v>2.3888289704814863E-2</v>
      </c>
      <c r="S303">
        <f t="shared" si="19"/>
        <v>5.0925014478498554E-3</v>
      </c>
    </row>
    <row r="304" spans="1:19" x14ac:dyDescent="0.15">
      <c r="A304" s="4">
        <v>32417</v>
      </c>
      <c r="B304">
        <v>0.1285</v>
      </c>
      <c r="C304">
        <v>1.9599999999999999E-2</v>
      </c>
      <c r="D304">
        <v>2.0500000000000001E-2</v>
      </c>
      <c r="E304">
        <v>1.0800000000000001E-2</v>
      </c>
      <c r="F304">
        <v>2.2200000000000001E-2</v>
      </c>
      <c r="G304">
        <v>1.5599999999999999E-2</v>
      </c>
      <c r="H304">
        <v>2.86E-2</v>
      </c>
      <c r="P304">
        <f t="shared" si="20"/>
        <v>-0.52000000000002</v>
      </c>
      <c r="Q304">
        <f t="shared" si="21"/>
        <v>1.52000000000002</v>
      </c>
      <c r="R304">
        <f t="shared" si="18"/>
        <v>2.381002243418933E-2</v>
      </c>
      <c r="S304">
        <f t="shared" si="19"/>
        <v>5.0435126013907384E-3</v>
      </c>
    </row>
    <row r="305" spans="1:19" x14ac:dyDescent="0.15">
      <c r="A305" s="4">
        <v>32448</v>
      </c>
      <c r="B305">
        <v>-1.8100000000000002E-2</v>
      </c>
      <c r="C305">
        <v>-2.0400000000000001E-2</v>
      </c>
      <c r="D305">
        <v>1.5E-3</v>
      </c>
      <c r="E305">
        <v>-3.7499999999999999E-2</v>
      </c>
      <c r="F305">
        <v>-6.6E-3</v>
      </c>
      <c r="G305">
        <v>-1.9E-2</v>
      </c>
      <c r="H305">
        <v>-9.2999999999999992E-3</v>
      </c>
      <c r="P305">
        <f t="shared" si="20"/>
        <v>-0.51000000000001999</v>
      </c>
      <c r="Q305">
        <f t="shared" si="21"/>
        <v>1.51000000000002</v>
      </c>
      <c r="R305">
        <f t="shared" si="18"/>
        <v>2.3731755163563802E-2</v>
      </c>
      <c r="S305">
        <f t="shared" si="19"/>
        <v>4.9948449932690573E-3</v>
      </c>
    </row>
    <row r="306" spans="1:19" x14ac:dyDescent="0.15">
      <c r="A306" s="4">
        <v>32478</v>
      </c>
      <c r="B306">
        <v>2.8400000000000002E-2</v>
      </c>
      <c r="C306">
        <v>3.2800000000000003E-2</v>
      </c>
      <c r="D306">
        <v>2.3599999999999999E-2</v>
      </c>
      <c r="E306">
        <v>3.9399999999999998E-2</v>
      </c>
      <c r="F306">
        <v>1.5800000000000002E-2</v>
      </c>
      <c r="G306">
        <v>2.5600000000000001E-2</v>
      </c>
      <c r="H306">
        <v>5.1999999999999998E-3</v>
      </c>
      <c r="P306">
        <f t="shared" si="20"/>
        <v>-0.50000000000001998</v>
      </c>
      <c r="Q306">
        <f t="shared" si="21"/>
        <v>1.50000000000002</v>
      </c>
      <c r="R306">
        <f t="shared" si="18"/>
        <v>2.3653487892938273E-2</v>
      </c>
      <c r="S306">
        <f t="shared" si="19"/>
        <v>4.9464986234848138E-3</v>
      </c>
    </row>
    <row r="307" spans="1:19" x14ac:dyDescent="0.15">
      <c r="A307" s="4">
        <v>32509</v>
      </c>
      <c r="B307">
        <v>5.8200000000000002E-2</v>
      </c>
      <c r="C307">
        <v>8.1500000000000003E-2</v>
      </c>
      <c r="D307">
        <v>6.25E-2</v>
      </c>
      <c r="E307">
        <v>6.59E-2</v>
      </c>
      <c r="F307">
        <v>2.81E-2</v>
      </c>
      <c r="G307">
        <v>7.51E-2</v>
      </c>
      <c r="H307">
        <v>7.0400000000000004E-2</v>
      </c>
      <c r="P307">
        <f t="shared" si="20"/>
        <v>-0.49000000000001998</v>
      </c>
      <c r="Q307">
        <f t="shared" si="21"/>
        <v>1.49000000000002</v>
      </c>
      <c r="R307">
        <f t="shared" si="18"/>
        <v>2.357522062231274E-2</v>
      </c>
      <c r="S307">
        <f t="shared" si="19"/>
        <v>4.8984734920380071E-3</v>
      </c>
    </row>
    <row r="308" spans="1:19" x14ac:dyDescent="0.15">
      <c r="A308" s="4">
        <v>32540</v>
      </c>
      <c r="B308">
        <v>-2.86E-2</v>
      </c>
      <c r="C308">
        <v>-1.5900000000000001E-2</v>
      </c>
      <c r="D308">
        <v>-1.7000000000000001E-2</v>
      </c>
      <c r="E308">
        <v>-2.3300000000000001E-2</v>
      </c>
      <c r="F308">
        <v>-1.9900000000000001E-2</v>
      </c>
      <c r="G308">
        <v>-6.8999999999999999E-3</v>
      </c>
      <c r="H308">
        <v>5.0000000000000001E-4</v>
      </c>
      <c r="P308">
        <f t="shared" si="20"/>
        <v>-0.48000000000001997</v>
      </c>
      <c r="Q308">
        <f t="shared" si="21"/>
        <v>1.48000000000002</v>
      </c>
      <c r="R308">
        <f t="shared" si="18"/>
        <v>2.3496953351687208E-2</v>
      </c>
      <c r="S308">
        <f t="shared" si="19"/>
        <v>4.8507695989286363E-3</v>
      </c>
    </row>
    <row r="309" spans="1:19" x14ac:dyDescent="0.15">
      <c r="A309" s="4">
        <v>32568</v>
      </c>
      <c r="B309">
        <v>5.2600000000000001E-2</v>
      </c>
      <c r="C309">
        <v>4.4499999999999998E-2</v>
      </c>
      <c r="D309">
        <v>3.7699999999999997E-2</v>
      </c>
      <c r="E309">
        <v>2.3E-3</v>
      </c>
      <c r="F309">
        <v>1.21E-2</v>
      </c>
      <c r="G309">
        <v>2.3800000000000002E-2</v>
      </c>
      <c r="H309">
        <v>4.2000000000000003E-2</v>
      </c>
      <c r="P309">
        <f t="shared" si="20"/>
        <v>-0.47000000000001996</v>
      </c>
      <c r="Q309">
        <f t="shared" si="21"/>
        <v>1.47000000000002</v>
      </c>
      <c r="R309">
        <f t="shared" si="18"/>
        <v>2.3418686081061679E-2</v>
      </c>
      <c r="S309">
        <f t="shared" si="19"/>
        <v>4.8033869441567048E-3</v>
      </c>
    </row>
    <row r="310" spans="1:19" x14ac:dyDescent="0.15">
      <c r="A310" s="4">
        <v>32599</v>
      </c>
      <c r="B310">
        <v>7.7600000000000002E-2</v>
      </c>
      <c r="C310">
        <v>4.9700000000000001E-2</v>
      </c>
      <c r="D310">
        <v>1.6199999999999999E-2</v>
      </c>
      <c r="E310">
        <v>7.7499999999999999E-2</v>
      </c>
      <c r="F310">
        <v>4.3900000000000002E-2</v>
      </c>
      <c r="G310">
        <v>6.9900000000000004E-2</v>
      </c>
      <c r="H310">
        <v>4.24E-2</v>
      </c>
      <c r="P310">
        <f t="shared" si="20"/>
        <v>-0.46000000000001995</v>
      </c>
      <c r="Q310">
        <f t="shared" si="21"/>
        <v>1.4600000000000199</v>
      </c>
      <c r="R310">
        <f t="shared" si="18"/>
        <v>2.334041881043615E-2</v>
      </c>
      <c r="S310">
        <f t="shared" si="19"/>
        <v>4.7563255277222076E-3</v>
      </c>
    </row>
    <row r="311" spans="1:19" x14ac:dyDescent="0.15">
      <c r="A311" s="4">
        <v>32629</v>
      </c>
      <c r="B311">
        <v>5.8500000000000003E-2</v>
      </c>
      <c r="C311">
        <v>3.0800000000000001E-2</v>
      </c>
      <c r="D311">
        <v>1.8599999999999998E-2</v>
      </c>
      <c r="E311">
        <v>7.4999999999999997E-3</v>
      </c>
      <c r="F311">
        <v>5.4399999999999997E-2</v>
      </c>
      <c r="G311">
        <v>4.9599999999999998E-2</v>
      </c>
      <c r="H311">
        <v>4.4499999999999998E-2</v>
      </c>
      <c r="P311">
        <f t="shared" si="20"/>
        <v>-0.45000000000001994</v>
      </c>
      <c r="Q311">
        <f t="shared" si="21"/>
        <v>1.4500000000000199</v>
      </c>
      <c r="R311">
        <f t="shared" si="18"/>
        <v>2.3262151539810618E-2</v>
      </c>
      <c r="S311">
        <f t="shared" si="19"/>
        <v>4.709585349625147E-3</v>
      </c>
    </row>
    <row r="312" spans="1:19" x14ac:dyDescent="0.15">
      <c r="A312" s="4">
        <v>32660</v>
      </c>
      <c r="B312">
        <v>1.23E-2</v>
      </c>
      <c r="C312">
        <v>-1.72E-2</v>
      </c>
      <c r="D312">
        <v>-7.1999999999999998E-3</v>
      </c>
      <c r="E312">
        <v>-1.95E-2</v>
      </c>
      <c r="F312">
        <v>2.9700000000000001E-2</v>
      </c>
      <c r="G312">
        <v>-8.8000000000000005E-3</v>
      </c>
      <c r="H312">
        <v>5.1000000000000004E-3</v>
      </c>
      <c r="P312">
        <f t="shared" si="20"/>
        <v>-0.44000000000001993</v>
      </c>
      <c r="Q312">
        <f t="shared" si="21"/>
        <v>1.4400000000000199</v>
      </c>
      <c r="R312">
        <f t="shared" si="18"/>
        <v>2.3183884269185089E-2</v>
      </c>
      <c r="S312">
        <f t="shared" si="19"/>
        <v>4.663166409865525E-3</v>
      </c>
    </row>
    <row r="313" spans="1:19" x14ac:dyDescent="0.15">
      <c r="A313" s="4">
        <v>32690</v>
      </c>
      <c r="B313">
        <v>0.14050000000000001</v>
      </c>
      <c r="C313">
        <v>0.12139999999999999</v>
      </c>
      <c r="D313">
        <v>3.4700000000000002E-2</v>
      </c>
      <c r="E313">
        <v>7.5600000000000001E-2</v>
      </c>
      <c r="F313">
        <v>6.6299999999999998E-2</v>
      </c>
      <c r="G313">
        <v>8.2400000000000001E-2</v>
      </c>
      <c r="H313">
        <v>7.9100000000000004E-2</v>
      </c>
      <c r="P313">
        <f t="shared" si="20"/>
        <v>-0.43000000000001992</v>
      </c>
      <c r="Q313">
        <f t="shared" si="21"/>
        <v>1.4300000000000199</v>
      </c>
      <c r="R313">
        <f t="shared" ref="R313:R376" si="22">P313*$L$55+Q313*$N$55</f>
        <v>2.3105616998559557E-2</v>
      </c>
      <c r="S313">
        <f t="shared" ref="S313:S376" si="23">P313^2*$L$56+Q313^2*$N$56+2*P313*Q313*$L$60</f>
        <v>4.6170687084433389E-3</v>
      </c>
    </row>
    <row r="314" spans="1:19" x14ac:dyDescent="0.15">
      <c r="A314" s="4">
        <v>32721</v>
      </c>
      <c r="B314">
        <v>-2.81E-2</v>
      </c>
      <c r="C314">
        <v>3.61E-2</v>
      </c>
      <c r="D314">
        <v>3.1699999999999999E-2</v>
      </c>
      <c r="E314">
        <v>1.14E-2</v>
      </c>
      <c r="F314">
        <v>-6.4000000000000003E-3</v>
      </c>
      <c r="G314">
        <v>2.5499999999999998E-2</v>
      </c>
      <c r="H314">
        <v>2.2499999999999999E-2</v>
      </c>
      <c r="P314">
        <f t="shared" ref="P314:P377" si="24">P313+0.01</f>
        <v>-0.42000000000001991</v>
      </c>
      <c r="Q314">
        <f t="shared" ref="Q314:Q377" si="25">1-P314</f>
        <v>1.4200000000000199</v>
      </c>
      <c r="R314">
        <f t="shared" si="22"/>
        <v>2.3027349727934028E-2</v>
      </c>
      <c r="S314">
        <f t="shared" si="23"/>
        <v>4.5712922453585887E-3</v>
      </c>
    </row>
    <row r="315" spans="1:19" x14ac:dyDescent="0.15">
      <c r="A315" s="4">
        <v>32752</v>
      </c>
      <c r="B315">
        <v>2.3999999999999998E-3</v>
      </c>
      <c r="C315">
        <v>-2E-3</v>
      </c>
      <c r="D315">
        <v>2.35E-2</v>
      </c>
      <c r="E315">
        <v>-4.0000000000000001E-3</v>
      </c>
      <c r="F315">
        <v>1.44E-2</v>
      </c>
      <c r="G315">
        <v>-8.9999999999999998E-4</v>
      </c>
      <c r="H315">
        <v>2.1299999999999999E-2</v>
      </c>
      <c r="P315">
        <f t="shared" si="24"/>
        <v>-0.4100000000000199</v>
      </c>
      <c r="Q315">
        <f t="shared" si="25"/>
        <v>1.4100000000000199</v>
      </c>
      <c r="R315">
        <f t="shared" si="22"/>
        <v>2.2949082457308496E-2</v>
      </c>
      <c r="S315">
        <f t="shared" si="23"/>
        <v>4.5258370206112761E-3</v>
      </c>
    </row>
    <row r="316" spans="1:19" x14ac:dyDescent="0.15">
      <c r="A316" s="4">
        <v>32782</v>
      </c>
      <c r="B316">
        <v>-5.4999999999999997E-3</v>
      </c>
      <c r="C316">
        <v>-5.0000000000000001E-3</v>
      </c>
      <c r="D316">
        <v>2.7099999999999999E-2</v>
      </c>
      <c r="E316">
        <v>-3.3599999999999998E-2</v>
      </c>
      <c r="F316">
        <v>7.1999999999999998E-3</v>
      </c>
      <c r="G316">
        <v>-3.5900000000000001E-2</v>
      </c>
      <c r="H316">
        <v>-2.98E-2</v>
      </c>
      <c r="P316">
        <f t="shared" si="24"/>
        <v>-0.4000000000000199</v>
      </c>
      <c r="Q316">
        <f t="shared" si="25"/>
        <v>1.4000000000000199</v>
      </c>
      <c r="R316">
        <f t="shared" si="22"/>
        <v>2.2870815186682967E-2</v>
      </c>
      <c r="S316">
        <f t="shared" si="23"/>
        <v>4.4807030342014012E-3</v>
      </c>
    </row>
    <row r="317" spans="1:19" x14ac:dyDescent="0.15">
      <c r="A317" s="4">
        <v>32813</v>
      </c>
      <c r="B317">
        <v>3.7999999999999999E-2</v>
      </c>
      <c r="C317">
        <v>4.02E-2</v>
      </c>
      <c r="D317">
        <v>3.27E-2</v>
      </c>
      <c r="E317">
        <v>6.0000000000000001E-3</v>
      </c>
      <c r="F317">
        <v>2.9499999999999998E-2</v>
      </c>
      <c r="G317">
        <v>1.46E-2</v>
      </c>
      <c r="H317">
        <v>9.1000000000000004E-3</v>
      </c>
      <c r="P317">
        <f t="shared" si="24"/>
        <v>-0.39000000000001989</v>
      </c>
      <c r="Q317">
        <f t="shared" si="25"/>
        <v>1.3900000000000199</v>
      </c>
      <c r="R317">
        <f t="shared" si="22"/>
        <v>2.2792547916057435E-2</v>
      </c>
      <c r="S317">
        <f t="shared" si="23"/>
        <v>4.4358902861289622E-3</v>
      </c>
    </row>
    <row r="318" spans="1:19" x14ac:dyDescent="0.15">
      <c r="A318" s="4">
        <v>32843</v>
      </c>
      <c r="B318">
        <v>3.9199999999999999E-2</v>
      </c>
      <c r="C318">
        <v>2.5700000000000001E-2</v>
      </c>
      <c r="D318">
        <v>5.6000000000000001E-2</v>
      </c>
      <c r="E318">
        <v>1.83E-2</v>
      </c>
      <c r="F318">
        <v>5.11E-2</v>
      </c>
      <c r="G318">
        <v>1.37E-2</v>
      </c>
      <c r="H318">
        <v>7.9000000000000008E-3</v>
      </c>
      <c r="P318">
        <f t="shared" si="24"/>
        <v>-0.38000000000001988</v>
      </c>
      <c r="Q318">
        <f t="shared" si="25"/>
        <v>1.3800000000000199</v>
      </c>
      <c r="R318">
        <f t="shared" si="22"/>
        <v>2.2714280645431906E-2</v>
      </c>
      <c r="S318">
        <f t="shared" si="23"/>
        <v>4.3913987763939616E-3</v>
      </c>
    </row>
    <row r="319" spans="1:19" x14ac:dyDescent="0.15">
      <c r="A319" s="4">
        <v>32874</v>
      </c>
      <c r="B319">
        <v>-9.9699999999999997E-2</v>
      </c>
      <c r="C319">
        <v>-6.5000000000000002E-2</v>
      </c>
      <c r="D319">
        <v>-3.7600000000000001E-2</v>
      </c>
      <c r="E319">
        <v>-8.1600000000000006E-2</v>
      </c>
      <c r="F319">
        <v>-5.5399999999999998E-2</v>
      </c>
      <c r="G319">
        <v>-7.0499999999999993E-2</v>
      </c>
      <c r="H319">
        <v>-7.5899999999999995E-2</v>
      </c>
      <c r="P319">
        <f t="shared" si="24"/>
        <v>-0.37000000000001987</v>
      </c>
      <c r="Q319">
        <f t="shared" si="25"/>
        <v>1.3700000000000199</v>
      </c>
      <c r="R319">
        <f t="shared" si="22"/>
        <v>2.2636013374806377E-2</v>
      </c>
      <c r="S319">
        <f t="shared" si="23"/>
        <v>4.3472285049963961E-3</v>
      </c>
    </row>
    <row r="320" spans="1:19" x14ac:dyDescent="0.15">
      <c r="A320" s="4">
        <v>32905</v>
      </c>
      <c r="B320">
        <v>-7.4000000000000003E-3</v>
      </c>
      <c r="C320">
        <v>-4.4000000000000003E-3</v>
      </c>
      <c r="D320">
        <v>2.4199999999999999E-2</v>
      </c>
      <c r="E320">
        <v>3.0999999999999999E-3</v>
      </c>
      <c r="F320">
        <v>8.0000000000000002E-3</v>
      </c>
      <c r="G320">
        <v>2.6800000000000001E-2</v>
      </c>
      <c r="H320">
        <v>1.66E-2</v>
      </c>
      <c r="P320">
        <f t="shared" si="24"/>
        <v>-0.36000000000001986</v>
      </c>
      <c r="Q320">
        <f t="shared" si="25"/>
        <v>1.3600000000000199</v>
      </c>
      <c r="R320">
        <f t="shared" si="22"/>
        <v>2.2557746104180845E-2</v>
      </c>
      <c r="S320">
        <f t="shared" si="23"/>
        <v>4.3033794719362682E-3</v>
      </c>
    </row>
    <row r="321" spans="1:19" x14ac:dyDescent="0.15">
      <c r="A321" s="4">
        <v>32933</v>
      </c>
      <c r="B321">
        <v>5.4699999999999999E-2</v>
      </c>
      <c r="C321">
        <v>3.32E-2</v>
      </c>
      <c r="D321">
        <v>-4.5999999999999999E-3</v>
      </c>
      <c r="E321">
        <v>5.6599999999999998E-2</v>
      </c>
      <c r="F321">
        <v>1.4E-3</v>
      </c>
      <c r="G321">
        <v>5.4100000000000002E-2</v>
      </c>
      <c r="H321">
        <v>1.6999999999999999E-3</v>
      </c>
      <c r="P321">
        <f t="shared" si="24"/>
        <v>-0.35000000000001985</v>
      </c>
      <c r="Q321">
        <f t="shared" si="25"/>
        <v>1.3500000000000199</v>
      </c>
      <c r="R321">
        <f t="shared" si="22"/>
        <v>2.2479478833555316E-2</v>
      </c>
      <c r="S321">
        <f t="shared" si="23"/>
        <v>4.2598516772135763E-3</v>
      </c>
    </row>
    <row r="322" spans="1:19" x14ac:dyDescent="0.15">
      <c r="A322" s="4">
        <v>32964</v>
      </c>
      <c r="B322">
        <v>3.2000000000000002E-3</v>
      </c>
      <c r="C322">
        <v>-2.5999999999999999E-3</v>
      </c>
      <c r="D322">
        <v>-2.76E-2</v>
      </c>
      <c r="E322">
        <v>-2.24E-2</v>
      </c>
      <c r="F322">
        <v>-4.0399999999999998E-2</v>
      </c>
      <c r="G322">
        <v>-6.7000000000000002E-3</v>
      </c>
      <c r="H322">
        <v>-3.5499999999999997E-2</v>
      </c>
      <c r="P322">
        <f t="shared" si="24"/>
        <v>-0.34000000000001984</v>
      </c>
      <c r="Q322">
        <f t="shared" si="25"/>
        <v>1.3400000000000198</v>
      </c>
      <c r="R322">
        <f t="shared" si="22"/>
        <v>2.2401211562929783E-2</v>
      </c>
      <c r="S322">
        <f t="shared" si="23"/>
        <v>4.2166451208283219E-3</v>
      </c>
    </row>
    <row r="323" spans="1:19" x14ac:dyDescent="0.15">
      <c r="A323" s="4">
        <v>32994</v>
      </c>
      <c r="B323">
        <v>0.1187</v>
      </c>
      <c r="C323">
        <v>0.11269999999999999</v>
      </c>
      <c r="D323">
        <v>6.4299999999999996E-2</v>
      </c>
      <c r="E323">
        <v>0.10630000000000001</v>
      </c>
      <c r="F323">
        <v>6.2799999999999995E-2</v>
      </c>
      <c r="G323">
        <v>0.13239999999999999</v>
      </c>
      <c r="H323">
        <v>8.5999999999999993E-2</v>
      </c>
      <c r="P323">
        <f t="shared" si="24"/>
        <v>-0.33000000000001983</v>
      </c>
      <c r="Q323">
        <f t="shared" si="25"/>
        <v>1.3300000000000198</v>
      </c>
      <c r="R323">
        <f t="shared" si="22"/>
        <v>2.2322944292304255E-2</v>
      </c>
      <c r="S323">
        <f t="shared" si="23"/>
        <v>4.1737598027805044E-3</v>
      </c>
    </row>
    <row r="324" spans="1:19" x14ac:dyDescent="0.15">
      <c r="A324" s="4">
        <v>33025</v>
      </c>
      <c r="B324">
        <v>2.1000000000000001E-2</v>
      </c>
      <c r="C324">
        <v>2.53E-2</v>
      </c>
      <c r="D324">
        <v>-1.5699999999999999E-2</v>
      </c>
      <c r="E324">
        <v>3.6799999999999999E-2</v>
      </c>
      <c r="F324">
        <v>1.5599999999999999E-2</v>
      </c>
      <c r="G324">
        <v>8.5000000000000006E-3</v>
      </c>
      <c r="H324">
        <v>-1.47E-2</v>
      </c>
      <c r="P324">
        <f t="shared" si="24"/>
        <v>-0.32000000000001982</v>
      </c>
      <c r="Q324">
        <f t="shared" si="25"/>
        <v>1.3200000000000198</v>
      </c>
      <c r="R324">
        <f t="shared" si="22"/>
        <v>2.2244677021678722E-2</v>
      </c>
      <c r="S324">
        <f t="shared" si="23"/>
        <v>4.1311957230701236E-3</v>
      </c>
    </row>
    <row r="325" spans="1:19" x14ac:dyDescent="0.15">
      <c r="A325" s="4">
        <v>33055</v>
      </c>
      <c r="B325">
        <v>2.5000000000000001E-3</v>
      </c>
      <c r="C325">
        <v>2.6100000000000002E-2</v>
      </c>
      <c r="D325">
        <v>9.4700000000000006E-2</v>
      </c>
      <c r="E325">
        <v>-1.72E-2</v>
      </c>
      <c r="F325">
        <v>6.8999999999999999E-3</v>
      </c>
      <c r="G325">
        <v>-3.49E-2</v>
      </c>
      <c r="H325">
        <v>-2.1299999999999999E-2</v>
      </c>
      <c r="P325">
        <f t="shared" si="24"/>
        <v>-0.31000000000001982</v>
      </c>
      <c r="Q325">
        <f t="shared" si="25"/>
        <v>1.3100000000000198</v>
      </c>
      <c r="R325">
        <f t="shared" si="22"/>
        <v>2.2166409751053193E-2</v>
      </c>
      <c r="S325">
        <f t="shared" si="23"/>
        <v>4.0889528816971804E-3</v>
      </c>
    </row>
    <row r="326" spans="1:19" x14ac:dyDescent="0.15">
      <c r="A326" s="4">
        <v>33086</v>
      </c>
      <c r="B326">
        <v>-6.7599999999999993E-2</v>
      </c>
      <c r="C326">
        <v>-8.5500000000000007E-2</v>
      </c>
      <c r="D326">
        <v>-1.14E-2</v>
      </c>
      <c r="E326">
        <v>-6.7100000000000007E-2</v>
      </c>
      <c r="F326">
        <v>-6.9699999999999998E-2</v>
      </c>
      <c r="G326">
        <v>-0.1111</v>
      </c>
      <c r="H326">
        <v>-8.4199999999999997E-2</v>
      </c>
      <c r="P326">
        <f t="shared" si="24"/>
        <v>-0.30000000000001981</v>
      </c>
      <c r="Q326">
        <f t="shared" si="25"/>
        <v>1.3000000000000198</v>
      </c>
      <c r="R326">
        <f t="shared" si="22"/>
        <v>2.2088142480427661E-2</v>
      </c>
      <c r="S326">
        <f t="shared" si="23"/>
        <v>4.0470312786616714E-3</v>
      </c>
    </row>
    <row r="327" spans="1:19" x14ac:dyDescent="0.15">
      <c r="A327" s="4">
        <v>33117</v>
      </c>
      <c r="B327">
        <v>-3.9899999999999998E-2</v>
      </c>
      <c r="C327">
        <v>-4.9399999999999999E-2</v>
      </c>
      <c r="D327">
        <v>-1.77E-2</v>
      </c>
      <c r="E327">
        <v>-4.7E-2</v>
      </c>
      <c r="F327">
        <v>-1.2200000000000001E-2</v>
      </c>
      <c r="G327">
        <v>-8.6599999999999996E-2</v>
      </c>
      <c r="H327">
        <v>-5.3499999999999999E-2</v>
      </c>
      <c r="P327">
        <f t="shared" si="24"/>
        <v>-0.2900000000000198</v>
      </c>
      <c r="Q327">
        <f t="shared" si="25"/>
        <v>1.2900000000000198</v>
      </c>
      <c r="R327">
        <f t="shared" si="22"/>
        <v>2.2009875209802132E-2</v>
      </c>
      <c r="S327">
        <f t="shared" si="23"/>
        <v>4.0054309139636018E-3</v>
      </c>
    </row>
    <row r="328" spans="1:19" x14ac:dyDescent="0.15">
      <c r="A328" s="4">
        <v>33147</v>
      </c>
      <c r="B328">
        <v>5.4399999999999997E-2</v>
      </c>
      <c r="C328">
        <v>2.7400000000000001E-2</v>
      </c>
      <c r="D328">
        <v>-3.7600000000000001E-2</v>
      </c>
      <c r="E328">
        <v>-1.67E-2</v>
      </c>
      <c r="F328">
        <v>6.4199999999999993E-2</v>
      </c>
      <c r="G328">
        <v>-3.0599999999999999E-2</v>
      </c>
      <c r="H328">
        <v>-1.8499999999999999E-2</v>
      </c>
      <c r="P328">
        <f t="shared" si="24"/>
        <v>-0.28000000000001979</v>
      </c>
      <c r="Q328">
        <f t="shared" si="25"/>
        <v>1.2800000000000198</v>
      </c>
      <c r="R328">
        <f t="shared" si="22"/>
        <v>2.1931607939176603E-2</v>
      </c>
      <c r="S328">
        <f t="shared" si="23"/>
        <v>3.964151787602968E-3</v>
      </c>
    </row>
    <row r="329" spans="1:19" x14ac:dyDescent="0.15">
      <c r="A329" s="4">
        <v>33178</v>
      </c>
      <c r="B329">
        <v>6.1199999999999997E-2</v>
      </c>
      <c r="C329">
        <v>9.1999999999999998E-2</v>
      </c>
      <c r="D329">
        <v>3.2000000000000001E-2</v>
      </c>
      <c r="E329">
        <v>0.1158</v>
      </c>
      <c r="F329">
        <v>1.9400000000000001E-2</v>
      </c>
      <c r="G329">
        <v>0.1157</v>
      </c>
      <c r="H329">
        <v>9.64E-2</v>
      </c>
      <c r="P329">
        <f t="shared" si="24"/>
        <v>-0.27000000000001978</v>
      </c>
      <c r="Q329">
        <f t="shared" si="25"/>
        <v>1.2700000000000198</v>
      </c>
      <c r="R329">
        <f t="shared" si="22"/>
        <v>2.1853340668551071E-2</v>
      </c>
      <c r="S329">
        <f t="shared" si="23"/>
        <v>3.923193899579772E-3</v>
      </c>
    </row>
    <row r="330" spans="1:19" x14ac:dyDescent="0.15">
      <c r="A330" s="4">
        <v>33208</v>
      </c>
      <c r="B330">
        <v>3.4000000000000002E-2</v>
      </c>
      <c r="C330">
        <v>3.0099999999999998E-2</v>
      </c>
      <c r="D330">
        <v>1.9E-3</v>
      </c>
      <c r="E330">
        <v>3.4299999999999997E-2</v>
      </c>
      <c r="F330">
        <v>1.77E-2</v>
      </c>
      <c r="G330">
        <v>5.8400000000000001E-2</v>
      </c>
      <c r="H330">
        <v>3.6299999999999999E-2</v>
      </c>
      <c r="P330">
        <f t="shared" si="24"/>
        <v>-0.26000000000001977</v>
      </c>
      <c r="Q330">
        <f t="shared" si="25"/>
        <v>1.2600000000000198</v>
      </c>
      <c r="R330">
        <f t="shared" si="22"/>
        <v>2.1775073397925542E-2</v>
      </c>
      <c r="S330">
        <f t="shared" si="23"/>
        <v>3.8825572498940113E-3</v>
      </c>
    </row>
    <row r="331" spans="1:19" x14ac:dyDescent="0.15">
      <c r="A331" s="4">
        <v>33239</v>
      </c>
      <c r="B331">
        <v>2.64E-2</v>
      </c>
      <c r="C331">
        <v>3.5299999999999998E-2</v>
      </c>
      <c r="D331">
        <v>-1.0800000000000001E-2</v>
      </c>
      <c r="E331">
        <v>0.1123</v>
      </c>
      <c r="F331">
        <v>7.1000000000000004E-3</v>
      </c>
      <c r="G331">
        <v>9.4299999999999995E-2</v>
      </c>
      <c r="H331">
        <v>4.7600000000000003E-2</v>
      </c>
      <c r="P331">
        <f t="shared" si="24"/>
        <v>-0.25000000000001976</v>
      </c>
      <c r="Q331">
        <f t="shared" si="25"/>
        <v>1.2500000000000198</v>
      </c>
      <c r="R331">
        <f t="shared" si="22"/>
        <v>2.169680612730001E-2</v>
      </c>
      <c r="S331">
        <f t="shared" si="23"/>
        <v>3.8422418385456892E-3</v>
      </c>
    </row>
    <row r="332" spans="1:19" x14ac:dyDescent="0.15">
      <c r="A332" s="4">
        <v>33270</v>
      </c>
      <c r="B332">
        <v>8.7400000000000005E-2</v>
      </c>
      <c r="C332">
        <v>9.1800000000000007E-2</v>
      </c>
      <c r="D332">
        <v>8.6099999999999996E-2</v>
      </c>
      <c r="E332">
        <v>0.1095</v>
      </c>
      <c r="F332">
        <v>5.2200000000000003E-2</v>
      </c>
      <c r="G332">
        <v>9.9900000000000003E-2</v>
      </c>
      <c r="H332">
        <v>8.5900000000000004E-2</v>
      </c>
      <c r="P332">
        <f t="shared" si="24"/>
        <v>-0.24000000000001975</v>
      </c>
      <c r="Q332">
        <f t="shared" si="25"/>
        <v>1.2400000000000198</v>
      </c>
      <c r="R332">
        <f t="shared" si="22"/>
        <v>2.1618538856674481E-2</v>
      </c>
      <c r="S332">
        <f t="shared" si="23"/>
        <v>3.8022476655348025E-3</v>
      </c>
    </row>
    <row r="333" spans="1:19" x14ac:dyDescent="0.15">
      <c r="A333" s="4">
        <v>33298</v>
      </c>
      <c r="B333">
        <v>6.1699999999999998E-2</v>
      </c>
      <c r="C333">
        <v>3.1699999999999999E-2</v>
      </c>
      <c r="D333">
        <v>2.2200000000000001E-2</v>
      </c>
      <c r="E333">
        <v>9.4299999999999995E-2</v>
      </c>
      <c r="F333">
        <v>7.9000000000000008E-3</v>
      </c>
      <c r="G333">
        <v>9.1899999999999996E-2</v>
      </c>
      <c r="H333">
        <v>4.36E-2</v>
      </c>
      <c r="P333">
        <f t="shared" si="24"/>
        <v>-0.23000000000001974</v>
      </c>
      <c r="Q333">
        <f t="shared" si="25"/>
        <v>1.2300000000000197</v>
      </c>
      <c r="R333">
        <f t="shared" si="22"/>
        <v>2.1540271586048949E-2</v>
      </c>
      <c r="S333">
        <f t="shared" si="23"/>
        <v>3.7625747308613531E-3</v>
      </c>
    </row>
    <row r="334" spans="1:19" x14ac:dyDescent="0.15">
      <c r="A334" s="4">
        <v>33329</v>
      </c>
      <c r="B334">
        <v>-1.78E-2</v>
      </c>
      <c r="C334">
        <v>1.09E-2</v>
      </c>
      <c r="D334">
        <v>2.9700000000000001E-2</v>
      </c>
      <c r="E334">
        <v>-4.4999999999999997E-3</v>
      </c>
      <c r="F334">
        <v>-2.9999999999999997E-4</v>
      </c>
      <c r="G334">
        <v>2.3400000000000001E-2</v>
      </c>
      <c r="H334">
        <v>2.0899999999999998E-2</v>
      </c>
      <c r="P334">
        <f t="shared" si="24"/>
        <v>-0.22000000000001974</v>
      </c>
      <c r="Q334">
        <f t="shared" si="25"/>
        <v>1.2200000000000197</v>
      </c>
      <c r="R334">
        <f t="shared" si="22"/>
        <v>2.1462004315423423E-2</v>
      </c>
      <c r="S334">
        <f t="shared" si="23"/>
        <v>3.7232230345253413E-3</v>
      </c>
    </row>
    <row r="335" spans="1:19" x14ac:dyDescent="0.15">
      <c r="A335" s="4">
        <v>33359</v>
      </c>
      <c r="B335">
        <v>4.3400000000000001E-2</v>
      </c>
      <c r="C335">
        <v>6.2100000000000002E-2</v>
      </c>
      <c r="D335">
        <v>-1.9800000000000002E-2</v>
      </c>
      <c r="E335">
        <v>3.0099999999999998E-2</v>
      </c>
      <c r="F335">
        <v>1.1900000000000001E-2</v>
      </c>
      <c r="G335">
        <v>0.06</v>
      </c>
      <c r="H335">
        <v>3.7699999999999997E-2</v>
      </c>
      <c r="P335">
        <f t="shared" si="24"/>
        <v>-0.21000000000001973</v>
      </c>
      <c r="Q335">
        <f t="shared" si="25"/>
        <v>1.2100000000000197</v>
      </c>
      <c r="R335">
        <f t="shared" si="22"/>
        <v>2.1383737044797891E-2</v>
      </c>
      <c r="S335">
        <f t="shared" si="23"/>
        <v>3.6841925765267649E-3</v>
      </c>
    </row>
    <row r="336" spans="1:19" x14ac:dyDescent="0.15">
      <c r="A336" s="4">
        <v>33390</v>
      </c>
      <c r="B336">
        <v>-4.1599999999999998E-2</v>
      </c>
      <c r="C336">
        <v>-3.6600000000000001E-2</v>
      </c>
      <c r="D336">
        <v>-3.2500000000000001E-2</v>
      </c>
      <c r="E336">
        <v>-5.67E-2</v>
      </c>
      <c r="F336">
        <v>-0.03</v>
      </c>
      <c r="G336">
        <v>-4.1599999999999998E-2</v>
      </c>
      <c r="H336">
        <v>-3.6499999999999998E-2</v>
      </c>
      <c r="P336">
        <f t="shared" si="24"/>
        <v>-0.20000000000001972</v>
      </c>
      <c r="Q336">
        <f t="shared" si="25"/>
        <v>1.2000000000000197</v>
      </c>
      <c r="R336">
        <f t="shared" si="22"/>
        <v>2.1305469774172362E-2</v>
      </c>
      <c r="S336">
        <f t="shared" si="23"/>
        <v>3.6454833568656257E-3</v>
      </c>
    </row>
    <row r="337" spans="1:19" x14ac:dyDescent="0.15">
      <c r="A337" s="4">
        <v>33420</v>
      </c>
      <c r="B337">
        <v>6.4299999999999996E-2</v>
      </c>
      <c r="C337">
        <v>7.3899999999999993E-2</v>
      </c>
      <c r="D337">
        <v>4.2200000000000001E-2</v>
      </c>
      <c r="E337">
        <v>7.4200000000000002E-2</v>
      </c>
      <c r="F337">
        <v>3.73E-2</v>
      </c>
      <c r="G337">
        <v>5.5599999999999997E-2</v>
      </c>
      <c r="H337">
        <v>5.4899999999999997E-2</v>
      </c>
      <c r="P337">
        <f t="shared" si="24"/>
        <v>-0.19000000000001971</v>
      </c>
      <c r="Q337">
        <f t="shared" si="25"/>
        <v>1.1900000000000197</v>
      </c>
      <c r="R337">
        <f t="shared" si="22"/>
        <v>2.122720250354683E-2</v>
      </c>
      <c r="S337">
        <f t="shared" si="23"/>
        <v>3.6070953755419242E-3</v>
      </c>
    </row>
    <row r="338" spans="1:19" x14ac:dyDescent="0.15">
      <c r="A338" s="4">
        <v>33451</v>
      </c>
      <c r="B338">
        <v>5.2499999999999998E-2</v>
      </c>
      <c r="C338">
        <v>3.2099999999999997E-2</v>
      </c>
      <c r="D338">
        <v>2.5999999999999999E-3</v>
      </c>
      <c r="E338">
        <v>3.0099999999999998E-2</v>
      </c>
      <c r="F338">
        <v>3.8199999999999998E-2</v>
      </c>
      <c r="G338">
        <v>3.39E-2</v>
      </c>
      <c r="H338">
        <v>3.7199999999999997E-2</v>
      </c>
      <c r="P338">
        <f t="shared" si="24"/>
        <v>-0.1800000000000197</v>
      </c>
      <c r="Q338">
        <f t="shared" si="25"/>
        <v>1.1800000000000197</v>
      </c>
      <c r="R338">
        <f t="shared" si="22"/>
        <v>2.1148935232921301E-2</v>
      </c>
      <c r="S338">
        <f t="shared" si="23"/>
        <v>3.5690286325556586E-3</v>
      </c>
    </row>
    <row r="339" spans="1:19" x14ac:dyDescent="0.15">
      <c r="A339" s="4">
        <v>33482</v>
      </c>
      <c r="B339">
        <v>-3.2500000000000001E-2</v>
      </c>
      <c r="C339">
        <v>-2.3E-3</v>
      </c>
      <c r="D339">
        <v>4.7000000000000002E-3</v>
      </c>
      <c r="E339">
        <v>-7.6E-3</v>
      </c>
      <c r="F339">
        <v>2.58E-2</v>
      </c>
      <c r="G339">
        <v>-1.6999999999999999E-3</v>
      </c>
      <c r="H339">
        <v>3.0000000000000001E-3</v>
      </c>
      <c r="P339">
        <f t="shared" si="24"/>
        <v>-0.17000000000001969</v>
      </c>
      <c r="Q339">
        <f t="shared" si="25"/>
        <v>1.1700000000000197</v>
      </c>
      <c r="R339">
        <f t="shared" si="22"/>
        <v>2.1070667962295772E-2</v>
      </c>
      <c r="S339">
        <f t="shared" si="23"/>
        <v>3.5312831279068306E-3</v>
      </c>
    </row>
    <row r="340" spans="1:19" x14ac:dyDescent="0.15">
      <c r="A340" s="4">
        <v>33512</v>
      </c>
      <c r="B340">
        <v>5.9999999999999995E-4</v>
      </c>
      <c r="C340">
        <v>5.74E-2</v>
      </c>
      <c r="D340">
        <v>2.41E-2</v>
      </c>
      <c r="E340">
        <v>7.3899999999999993E-2</v>
      </c>
      <c r="F340">
        <v>1.4999999999999999E-2</v>
      </c>
      <c r="G340">
        <v>8.3000000000000001E-3</v>
      </c>
      <c r="H340">
        <v>2.3699999999999999E-2</v>
      </c>
      <c r="P340">
        <f t="shared" si="24"/>
        <v>-0.16000000000001968</v>
      </c>
      <c r="Q340">
        <f t="shared" si="25"/>
        <v>1.1600000000000197</v>
      </c>
      <c r="R340">
        <f t="shared" si="22"/>
        <v>2.099240069167024E-2</v>
      </c>
      <c r="S340">
        <f t="shared" si="23"/>
        <v>3.4938588615954385E-3</v>
      </c>
    </row>
    <row r="341" spans="1:19" x14ac:dyDescent="0.15">
      <c r="A341" s="4">
        <v>33543</v>
      </c>
      <c r="B341">
        <v>2.1299999999999999E-2</v>
      </c>
      <c r="C341">
        <v>-3.3300000000000003E-2</v>
      </c>
      <c r="D341">
        <v>-6.9000000000000006E-2</v>
      </c>
      <c r="E341">
        <v>-8.0999999999999996E-3</v>
      </c>
      <c r="F341">
        <v>1.6400000000000001E-2</v>
      </c>
      <c r="G341">
        <v>-1.6500000000000001E-2</v>
      </c>
      <c r="H341">
        <v>-4.0099999999999997E-2</v>
      </c>
      <c r="P341">
        <f t="shared" si="24"/>
        <v>-0.15000000000001967</v>
      </c>
      <c r="Q341">
        <f t="shared" si="25"/>
        <v>1.1500000000000197</v>
      </c>
      <c r="R341">
        <f t="shared" si="22"/>
        <v>2.0914133421044711E-2</v>
      </c>
      <c r="S341">
        <f t="shared" si="23"/>
        <v>3.4567558336214845E-3</v>
      </c>
    </row>
    <row r="342" spans="1:19" x14ac:dyDescent="0.15">
      <c r="A342" s="4">
        <v>33573</v>
      </c>
      <c r="B342">
        <v>0.13730000000000001</v>
      </c>
      <c r="C342">
        <v>0.151</v>
      </c>
      <c r="D342">
        <v>4.2000000000000003E-2</v>
      </c>
      <c r="E342">
        <v>0.15709999999999999</v>
      </c>
      <c r="F342">
        <v>5.8599999999999999E-2</v>
      </c>
      <c r="G342">
        <v>0.12770000000000001</v>
      </c>
      <c r="H342">
        <v>0.1144</v>
      </c>
      <c r="P342">
        <f t="shared" si="24"/>
        <v>-0.14000000000001966</v>
      </c>
      <c r="Q342">
        <f t="shared" si="25"/>
        <v>1.1400000000000197</v>
      </c>
      <c r="R342">
        <f t="shared" si="22"/>
        <v>2.0835866150419179E-2</v>
      </c>
      <c r="S342">
        <f t="shared" si="23"/>
        <v>3.4199740439849664E-3</v>
      </c>
    </row>
    <row r="343" spans="1:19" x14ac:dyDescent="0.15">
      <c r="A343" s="4">
        <v>33604</v>
      </c>
      <c r="B343">
        <v>-3.85E-2</v>
      </c>
      <c r="C343">
        <v>-2.24E-2</v>
      </c>
      <c r="D343">
        <v>-3.9800000000000002E-2</v>
      </c>
      <c r="E343">
        <v>1.4999999999999999E-2</v>
      </c>
      <c r="F343">
        <v>-2.75E-2</v>
      </c>
      <c r="G343">
        <v>3.6299999999999999E-2</v>
      </c>
      <c r="H343">
        <v>6.1999999999999998E-3</v>
      </c>
      <c r="P343">
        <f t="shared" si="24"/>
        <v>-0.13000000000001966</v>
      </c>
      <c r="Q343">
        <f t="shared" si="25"/>
        <v>1.1300000000000197</v>
      </c>
      <c r="R343">
        <f t="shared" si="22"/>
        <v>2.075759887979365E-2</v>
      </c>
      <c r="S343">
        <f t="shared" si="23"/>
        <v>3.383513492685885E-3</v>
      </c>
    </row>
    <row r="344" spans="1:19" x14ac:dyDescent="0.15">
      <c r="A344" s="4">
        <v>33635</v>
      </c>
      <c r="B344">
        <v>-1.4E-3</v>
      </c>
      <c r="C344">
        <v>-1.4E-3</v>
      </c>
      <c r="D344">
        <v>-1.24E-2</v>
      </c>
      <c r="E344">
        <v>3.7000000000000002E-3</v>
      </c>
      <c r="F344">
        <v>-6.7999999999999996E-3</v>
      </c>
      <c r="G344">
        <v>3.1699999999999999E-2</v>
      </c>
      <c r="H344">
        <v>2.2599999999999999E-2</v>
      </c>
      <c r="P344">
        <f t="shared" si="24"/>
        <v>-0.12000000000001966</v>
      </c>
      <c r="Q344">
        <f t="shared" si="25"/>
        <v>1.1200000000000196</v>
      </c>
      <c r="R344">
        <f t="shared" si="22"/>
        <v>2.0679331609168117E-2</v>
      </c>
      <c r="S344">
        <f t="shared" si="23"/>
        <v>3.3473741797242409E-3</v>
      </c>
    </row>
    <row r="345" spans="1:19" x14ac:dyDescent="0.15">
      <c r="A345" s="4">
        <v>33664</v>
      </c>
      <c r="B345">
        <v>-1.7600000000000001E-2</v>
      </c>
      <c r="C345">
        <v>-3.04E-2</v>
      </c>
      <c r="D345">
        <v>-2.5700000000000001E-2</v>
      </c>
      <c r="E345">
        <v>-2.4E-2</v>
      </c>
      <c r="F345">
        <v>-1.49E-2</v>
      </c>
      <c r="G345">
        <v>-1.5599999999999999E-2</v>
      </c>
      <c r="H345">
        <v>-1.1299999999999999E-2</v>
      </c>
      <c r="P345">
        <f t="shared" si="24"/>
        <v>-0.11000000000001967</v>
      </c>
      <c r="Q345">
        <f t="shared" si="25"/>
        <v>1.1100000000000196</v>
      </c>
      <c r="R345">
        <f t="shared" si="22"/>
        <v>2.0601064338542589E-2</v>
      </c>
      <c r="S345">
        <f t="shared" si="23"/>
        <v>3.3115561051000335E-3</v>
      </c>
    </row>
    <row r="346" spans="1:19" x14ac:dyDescent="0.15">
      <c r="A346" s="4">
        <v>33695</v>
      </c>
      <c r="B346">
        <v>-2.0000000000000001E-4</v>
      </c>
      <c r="C346">
        <v>1.43E-2</v>
      </c>
      <c r="D346">
        <v>9.3700000000000006E-2</v>
      </c>
      <c r="E346">
        <v>-3.0300000000000001E-2</v>
      </c>
      <c r="F346">
        <v>2.81E-2</v>
      </c>
      <c r="G346">
        <v>-2.8899999999999999E-2</v>
      </c>
      <c r="H346">
        <v>2.98E-2</v>
      </c>
      <c r="P346">
        <f t="shared" si="24"/>
        <v>-0.10000000000001967</v>
      </c>
      <c r="Q346">
        <f t="shared" si="25"/>
        <v>1.1000000000000196</v>
      </c>
      <c r="R346">
        <f t="shared" si="22"/>
        <v>2.0522797067917056E-2</v>
      </c>
      <c r="S346">
        <f t="shared" si="23"/>
        <v>3.2760592688132633E-3</v>
      </c>
    </row>
    <row r="347" spans="1:19" x14ac:dyDescent="0.15">
      <c r="A347" s="4">
        <v>33725</v>
      </c>
      <c r="B347">
        <v>2.1600000000000001E-2</v>
      </c>
      <c r="C347">
        <v>4.8999999999999998E-3</v>
      </c>
      <c r="D347">
        <v>2.7099999999999999E-2</v>
      </c>
      <c r="E347">
        <v>1.54E-2</v>
      </c>
      <c r="F347">
        <v>1.66E-2</v>
      </c>
      <c r="G347">
        <v>6.1999999999999998E-3</v>
      </c>
      <c r="H347">
        <v>2.01E-2</v>
      </c>
      <c r="P347">
        <f t="shared" si="24"/>
        <v>-9.0000000000019675E-2</v>
      </c>
      <c r="Q347">
        <f t="shared" si="25"/>
        <v>1.0900000000000196</v>
      </c>
      <c r="R347">
        <f t="shared" si="22"/>
        <v>2.0444529797291527E-2</v>
      </c>
      <c r="S347">
        <f t="shared" si="23"/>
        <v>3.2408836708639295E-3</v>
      </c>
    </row>
    <row r="348" spans="1:19" x14ac:dyDescent="0.15">
      <c r="A348" s="4">
        <v>33756</v>
      </c>
      <c r="B348">
        <v>-7.6E-3</v>
      </c>
      <c r="C348">
        <v>-4.7699999999999999E-2</v>
      </c>
      <c r="D348">
        <v>-2.2700000000000001E-2</v>
      </c>
      <c r="E348">
        <v>-5.1799999999999999E-2</v>
      </c>
      <c r="F348">
        <v>-1E-4</v>
      </c>
      <c r="G348">
        <v>-1.8200000000000001E-2</v>
      </c>
      <c r="H348">
        <v>1.2E-2</v>
      </c>
      <c r="P348">
        <f t="shared" si="24"/>
        <v>-8.000000000001968E-2</v>
      </c>
      <c r="Q348">
        <f t="shared" si="25"/>
        <v>1.0800000000000196</v>
      </c>
      <c r="R348">
        <f t="shared" si="22"/>
        <v>2.0366262526665995E-2</v>
      </c>
      <c r="S348">
        <f t="shared" si="23"/>
        <v>3.2060293112520324E-3</v>
      </c>
    </row>
    <row r="349" spans="1:19" x14ac:dyDescent="0.15">
      <c r="A349" s="4">
        <v>33786</v>
      </c>
      <c r="B349">
        <v>4.0300000000000002E-2</v>
      </c>
      <c r="C349">
        <v>5.74E-2</v>
      </c>
      <c r="D349">
        <v>4.58E-2</v>
      </c>
      <c r="E349">
        <v>7.1499999999999994E-2</v>
      </c>
      <c r="F349">
        <v>6.7199999999999996E-2</v>
      </c>
      <c r="G349">
        <v>4.9700000000000001E-2</v>
      </c>
      <c r="H349">
        <v>4.2299999999999997E-2</v>
      </c>
      <c r="P349">
        <f t="shared" si="24"/>
        <v>-7.0000000000019685E-2</v>
      </c>
      <c r="Q349">
        <f t="shared" si="25"/>
        <v>1.0700000000000196</v>
      </c>
      <c r="R349">
        <f t="shared" si="22"/>
        <v>2.0287995256040466E-2</v>
      </c>
      <c r="S349">
        <f t="shared" si="23"/>
        <v>3.1714961899775725E-3</v>
      </c>
    </row>
    <row r="350" spans="1:19" x14ac:dyDescent="0.15">
      <c r="A350" s="4">
        <v>33817</v>
      </c>
      <c r="B350">
        <v>1.06E-2</v>
      </c>
      <c r="C350">
        <v>-3.85E-2</v>
      </c>
      <c r="D350">
        <v>2.3099999999999999E-2</v>
      </c>
      <c r="E350">
        <v>-2.3099999999999999E-2</v>
      </c>
      <c r="F350">
        <v>-8.8999999999999999E-3</v>
      </c>
      <c r="G350">
        <v>-1.24E-2</v>
      </c>
      <c r="H350">
        <v>-1.84E-2</v>
      </c>
      <c r="P350">
        <f t="shared" si="24"/>
        <v>-6.0000000000019683E-2</v>
      </c>
      <c r="Q350">
        <f t="shared" si="25"/>
        <v>1.0600000000000196</v>
      </c>
      <c r="R350">
        <f t="shared" si="22"/>
        <v>2.0209727985414934E-2</v>
      </c>
      <c r="S350">
        <f t="shared" si="23"/>
        <v>3.137284307040549E-3</v>
      </c>
    </row>
    <row r="351" spans="1:19" x14ac:dyDescent="0.15">
      <c r="A351" s="4">
        <v>33848</v>
      </c>
      <c r="B351">
        <v>8.3000000000000001E-3</v>
      </c>
      <c r="C351">
        <v>-2.2499999999999999E-2</v>
      </c>
      <c r="D351">
        <v>5.9999999999999995E-4</v>
      </c>
      <c r="E351">
        <v>1.4E-3</v>
      </c>
      <c r="F351">
        <v>1.3100000000000001E-2</v>
      </c>
      <c r="G351">
        <v>5.1799999999999999E-2</v>
      </c>
      <c r="H351">
        <v>2.2200000000000001E-2</v>
      </c>
      <c r="P351">
        <f t="shared" si="24"/>
        <v>-5.0000000000019681E-2</v>
      </c>
      <c r="Q351">
        <f t="shared" si="25"/>
        <v>1.0500000000000196</v>
      </c>
      <c r="R351">
        <f t="shared" si="22"/>
        <v>2.0131460714789405E-2</v>
      </c>
      <c r="S351">
        <f t="shared" si="23"/>
        <v>3.1033936624409626E-3</v>
      </c>
    </row>
    <row r="352" spans="1:19" x14ac:dyDescent="0.15">
      <c r="A352" s="4">
        <v>33878</v>
      </c>
      <c r="B352">
        <v>9.7000000000000003E-3</v>
      </c>
      <c r="C352">
        <v>2.5600000000000001E-2</v>
      </c>
      <c r="D352">
        <v>-4.0899999999999999E-2</v>
      </c>
      <c r="E352">
        <v>2.8899999999999999E-2</v>
      </c>
      <c r="F352">
        <v>-1.6999999999999999E-3</v>
      </c>
      <c r="G352">
        <v>4.7800000000000002E-2</v>
      </c>
      <c r="H352">
        <v>2.24E-2</v>
      </c>
      <c r="P352">
        <f t="shared" si="24"/>
        <v>-4.000000000001968E-2</v>
      </c>
      <c r="Q352">
        <f t="shared" si="25"/>
        <v>1.0400000000000196</v>
      </c>
      <c r="R352">
        <f t="shared" si="22"/>
        <v>2.0053193444163873E-2</v>
      </c>
      <c r="S352">
        <f t="shared" si="23"/>
        <v>3.069824256178813E-3</v>
      </c>
    </row>
    <row r="353" spans="1:19" x14ac:dyDescent="0.15">
      <c r="A353" s="4">
        <v>33909</v>
      </c>
      <c r="B353">
        <v>2.2599999999999999E-2</v>
      </c>
      <c r="C353">
        <v>3.6200000000000003E-2</v>
      </c>
      <c r="D353">
        <v>-1.6799999999999999E-2</v>
      </c>
      <c r="E353">
        <v>6.3799999999999996E-2</v>
      </c>
      <c r="F353">
        <v>4.8999999999999998E-3</v>
      </c>
      <c r="G353">
        <v>9.1399999999999995E-2</v>
      </c>
      <c r="H353">
        <v>4.8399999999999999E-2</v>
      </c>
      <c r="P353">
        <f t="shared" si="24"/>
        <v>-3.0000000000019678E-2</v>
      </c>
      <c r="Q353">
        <f t="shared" si="25"/>
        <v>1.0300000000000198</v>
      </c>
      <c r="R353">
        <f t="shared" si="22"/>
        <v>1.9974926173538347E-2</v>
      </c>
      <c r="S353">
        <f t="shared" si="23"/>
        <v>3.036576088254102E-3</v>
      </c>
    </row>
    <row r="354" spans="1:19" x14ac:dyDescent="0.15">
      <c r="A354" s="4">
        <v>33939</v>
      </c>
      <c r="B354">
        <v>1.2200000000000001E-2</v>
      </c>
      <c r="C354">
        <v>-8.9999999999999993E-3</v>
      </c>
      <c r="D354">
        <v>2.7199999999999998E-2</v>
      </c>
      <c r="E354">
        <v>1.44E-2</v>
      </c>
      <c r="F354">
        <v>2.8199999999999999E-2</v>
      </c>
      <c r="G354">
        <v>2.3699999999999999E-2</v>
      </c>
      <c r="H354">
        <v>3.95E-2</v>
      </c>
      <c r="P354">
        <f t="shared" si="24"/>
        <v>-2.0000000000019676E-2</v>
      </c>
      <c r="Q354">
        <f t="shared" si="25"/>
        <v>1.0200000000000198</v>
      </c>
      <c r="R354">
        <f t="shared" si="22"/>
        <v>1.9896658902912815E-2</v>
      </c>
      <c r="S354">
        <f t="shared" si="23"/>
        <v>3.0036491586668259E-3</v>
      </c>
    </row>
    <row r="355" spans="1:19" x14ac:dyDescent="0.15">
      <c r="A355" s="4">
        <v>33970</v>
      </c>
      <c r="B355">
        <v>-1.06E-2</v>
      </c>
      <c r="C355">
        <v>-5.0900000000000001E-2</v>
      </c>
      <c r="D355">
        <v>1.7100000000000001E-2</v>
      </c>
      <c r="E355">
        <v>1.5599999999999999E-2</v>
      </c>
      <c r="F355">
        <v>2.12E-2</v>
      </c>
      <c r="G355">
        <v>9.9000000000000008E-3</v>
      </c>
      <c r="H355">
        <v>3.8300000000000001E-2</v>
      </c>
      <c r="P355">
        <f t="shared" si="24"/>
        <v>-1.0000000000019675E-2</v>
      </c>
      <c r="Q355">
        <f t="shared" si="25"/>
        <v>1.0100000000000198</v>
      </c>
      <c r="R355">
        <f t="shared" si="22"/>
        <v>1.9818391632287286E-2</v>
      </c>
      <c r="S355">
        <f t="shared" si="23"/>
        <v>2.9710434674169867E-3</v>
      </c>
    </row>
    <row r="356" spans="1:19" x14ac:dyDescent="0.15">
      <c r="A356" s="4">
        <v>34001</v>
      </c>
      <c r="B356">
        <v>1.0200000000000001E-2</v>
      </c>
      <c r="C356">
        <v>-2.6800000000000001E-2</v>
      </c>
      <c r="D356">
        <v>5.21E-2</v>
      </c>
      <c r="E356">
        <v>-3.27E-2</v>
      </c>
      <c r="F356">
        <v>5.2699999999999997E-2</v>
      </c>
      <c r="G356">
        <v>-2.7E-2</v>
      </c>
      <c r="H356">
        <v>2.8799999999999999E-2</v>
      </c>
      <c r="P356">
        <f t="shared" si="24"/>
        <v>-1.9675233664528946E-14</v>
      </c>
      <c r="Q356">
        <f t="shared" si="25"/>
        <v>1.0000000000000198</v>
      </c>
      <c r="R356">
        <f t="shared" si="22"/>
        <v>1.9740124361661754E-2</v>
      </c>
      <c r="S356">
        <f t="shared" si="23"/>
        <v>2.9387590145045846E-3</v>
      </c>
    </row>
    <row r="357" spans="1:19" x14ac:dyDescent="0.15">
      <c r="A357" s="4">
        <v>34029</v>
      </c>
      <c r="B357">
        <v>8.8999999999999999E-3</v>
      </c>
      <c r="C357">
        <v>1.11E-2</v>
      </c>
      <c r="D357">
        <v>3.3399999999999999E-2</v>
      </c>
      <c r="E357">
        <v>1.9300000000000001E-2</v>
      </c>
      <c r="F357">
        <v>1.29E-2</v>
      </c>
      <c r="G357">
        <v>4.8000000000000001E-2</v>
      </c>
      <c r="H357">
        <v>3.6299999999999999E-2</v>
      </c>
      <c r="P357">
        <f t="shared" si="24"/>
        <v>9.999999999980325E-3</v>
      </c>
      <c r="Q357">
        <f t="shared" si="25"/>
        <v>0.99000000000001964</v>
      </c>
      <c r="R357">
        <f t="shared" si="22"/>
        <v>1.9661857091036225E-2</v>
      </c>
      <c r="S357">
        <f t="shared" si="23"/>
        <v>2.9067957999296189E-3</v>
      </c>
    </row>
    <row r="358" spans="1:19" x14ac:dyDescent="0.15">
      <c r="A358" s="4">
        <v>34060</v>
      </c>
      <c r="B358">
        <v>-6.6600000000000006E-2</v>
      </c>
      <c r="C358">
        <v>2.5100000000000001E-2</v>
      </c>
      <c r="D358">
        <v>1.8200000000000001E-2</v>
      </c>
      <c r="E358">
        <v>-3.9199999999999999E-2</v>
      </c>
      <c r="F358">
        <v>-4.5999999999999999E-3</v>
      </c>
      <c r="G358">
        <v>-5.4300000000000001E-2</v>
      </c>
      <c r="H358">
        <v>-2.81E-2</v>
      </c>
      <c r="P358">
        <f t="shared" si="24"/>
        <v>1.9999999999980325E-2</v>
      </c>
      <c r="Q358">
        <f t="shared" si="25"/>
        <v>0.98000000000001963</v>
      </c>
      <c r="R358">
        <f t="shared" si="22"/>
        <v>1.9583589820410693E-2</v>
      </c>
      <c r="S358">
        <f t="shared" si="23"/>
        <v>2.8751538236920899E-3</v>
      </c>
    </row>
    <row r="359" spans="1:19" x14ac:dyDescent="0.15">
      <c r="A359" s="4">
        <v>34090</v>
      </c>
      <c r="B359">
        <v>2.6599999999999999E-2</v>
      </c>
      <c r="C359">
        <v>2.4299999999999999E-2</v>
      </c>
      <c r="D359">
        <v>1.2699999999999999E-2</v>
      </c>
      <c r="E359">
        <v>6.6699999999999995E-2</v>
      </c>
      <c r="F359">
        <v>5.1000000000000004E-3</v>
      </c>
      <c r="G359">
        <v>7.46E-2</v>
      </c>
      <c r="H359">
        <v>3.0000000000000001E-3</v>
      </c>
      <c r="P359">
        <f t="shared" si="24"/>
        <v>2.9999999999980327E-2</v>
      </c>
      <c r="Q359">
        <f t="shared" si="25"/>
        <v>0.97000000000001962</v>
      </c>
      <c r="R359">
        <f t="shared" si="22"/>
        <v>1.9505322549785164E-2</v>
      </c>
      <c r="S359">
        <f t="shared" si="23"/>
        <v>2.8438330857919981E-3</v>
      </c>
    </row>
    <row r="360" spans="1:19" x14ac:dyDescent="0.15">
      <c r="A360" s="4">
        <v>34121</v>
      </c>
      <c r="B360">
        <v>1.4E-3</v>
      </c>
      <c r="C360">
        <v>-2.06E-2</v>
      </c>
      <c r="D360">
        <v>-1.1999999999999999E-3</v>
      </c>
      <c r="E360">
        <v>-9.4999999999999998E-3</v>
      </c>
      <c r="F360">
        <v>2.53E-2</v>
      </c>
      <c r="G360">
        <v>-8.9999999999999993E-3</v>
      </c>
      <c r="H360">
        <v>3.5400000000000001E-2</v>
      </c>
      <c r="P360">
        <f t="shared" si="24"/>
        <v>3.9999999999980329E-2</v>
      </c>
      <c r="Q360">
        <f t="shared" si="25"/>
        <v>0.96000000000001973</v>
      </c>
      <c r="R360">
        <f t="shared" si="22"/>
        <v>1.9427055279159638E-2</v>
      </c>
      <c r="S360">
        <f t="shared" si="23"/>
        <v>2.8128335862293435E-3</v>
      </c>
    </row>
    <row r="361" spans="1:19" x14ac:dyDescent="0.15">
      <c r="A361" s="4">
        <v>34151</v>
      </c>
      <c r="B361">
        <v>-2.81E-2</v>
      </c>
      <c r="C361">
        <v>-3.9100000000000003E-2</v>
      </c>
      <c r="D361">
        <v>8.0000000000000002E-3</v>
      </c>
      <c r="E361">
        <v>-4.19E-2</v>
      </c>
      <c r="F361">
        <v>1.5900000000000001E-2</v>
      </c>
      <c r="G361">
        <v>1.4800000000000001E-2</v>
      </c>
      <c r="H361">
        <v>2.3599999999999999E-2</v>
      </c>
      <c r="P361">
        <f t="shared" si="24"/>
        <v>4.9999999999980331E-2</v>
      </c>
      <c r="Q361">
        <f t="shared" si="25"/>
        <v>0.95000000000001972</v>
      </c>
      <c r="R361">
        <f t="shared" si="22"/>
        <v>1.9348788008534106E-2</v>
      </c>
      <c r="S361">
        <f t="shared" si="23"/>
        <v>2.7821553250041262E-3</v>
      </c>
    </row>
    <row r="362" spans="1:19" x14ac:dyDescent="0.15">
      <c r="A362" s="4">
        <v>34182</v>
      </c>
      <c r="B362">
        <v>5.1999999999999998E-2</v>
      </c>
      <c r="C362">
        <v>3.61E-2</v>
      </c>
      <c r="D362">
        <v>3.4000000000000002E-2</v>
      </c>
      <c r="E362">
        <v>6.83E-2</v>
      </c>
      <c r="F362">
        <v>3.7999999999999999E-2</v>
      </c>
      <c r="G362">
        <v>5.6899999999999999E-2</v>
      </c>
      <c r="H362">
        <v>3.49E-2</v>
      </c>
      <c r="P362">
        <f t="shared" si="24"/>
        <v>5.9999999999980333E-2</v>
      </c>
      <c r="Q362">
        <f t="shared" si="25"/>
        <v>0.94000000000001971</v>
      </c>
      <c r="R362">
        <f t="shared" si="22"/>
        <v>1.9270520737908577E-2</v>
      </c>
      <c r="S362">
        <f t="shared" si="23"/>
        <v>2.7517983021163443E-3</v>
      </c>
    </row>
    <row r="363" spans="1:19" x14ac:dyDescent="0.15">
      <c r="A363" s="4">
        <v>34213</v>
      </c>
      <c r="B363">
        <v>-1.72E-2</v>
      </c>
      <c r="C363">
        <v>-8.0000000000000004E-4</v>
      </c>
      <c r="D363">
        <v>2.06E-2</v>
      </c>
      <c r="E363">
        <v>-1.11E-2</v>
      </c>
      <c r="F363">
        <v>-1.0500000000000001E-2</v>
      </c>
      <c r="G363">
        <v>5.5999999999999999E-3</v>
      </c>
      <c r="H363">
        <v>2.3400000000000001E-2</v>
      </c>
      <c r="P363">
        <f t="shared" si="24"/>
        <v>6.9999999999980328E-2</v>
      </c>
      <c r="Q363">
        <f t="shared" si="25"/>
        <v>0.9300000000000197</v>
      </c>
      <c r="R363">
        <f t="shared" si="22"/>
        <v>1.9192253467283045E-2</v>
      </c>
      <c r="S363">
        <f t="shared" si="23"/>
        <v>2.721762517566E-3</v>
      </c>
    </row>
    <row r="364" spans="1:19" x14ac:dyDescent="0.15">
      <c r="A364" s="4">
        <v>34243</v>
      </c>
      <c r="B364">
        <v>5.3999999999999999E-2</v>
      </c>
      <c r="C364">
        <v>5.4399999999999997E-2</v>
      </c>
      <c r="D364">
        <v>-3.5000000000000001E-3</v>
      </c>
      <c r="E364">
        <v>5.3100000000000001E-2</v>
      </c>
      <c r="F364">
        <v>-2.0799999999999999E-2</v>
      </c>
      <c r="G364">
        <v>4.2200000000000001E-2</v>
      </c>
      <c r="H364">
        <v>-1.8800000000000001E-2</v>
      </c>
      <c r="P364">
        <f t="shared" si="24"/>
        <v>7.9999999999980323E-2</v>
      </c>
      <c r="Q364">
        <f t="shared" si="25"/>
        <v>0.92000000000001969</v>
      </c>
      <c r="R364">
        <f t="shared" si="22"/>
        <v>1.9113986196657516E-2</v>
      </c>
      <c r="S364">
        <f t="shared" si="23"/>
        <v>2.6920479713530925E-3</v>
      </c>
    </row>
    <row r="365" spans="1:19" x14ac:dyDescent="0.15">
      <c r="A365" s="4">
        <v>34274</v>
      </c>
      <c r="B365">
        <v>-1.2999999999999999E-3</v>
      </c>
      <c r="C365">
        <v>1.5900000000000001E-2</v>
      </c>
      <c r="D365">
        <v>-4.9500000000000002E-2</v>
      </c>
      <c r="E365">
        <v>-2.8999999999999998E-3</v>
      </c>
      <c r="F365">
        <v>-4.4299999999999999E-2</v>
      </c>
      <c r="G365">
        <v>5.1000000000000004E-3</v>
      </c>
      <c r="H365">
        <v>-3.61E-2</v>
      </c>
      <c r="P365">
        <f t="shared" si="24"/>
        <v>8.9999999999980318E-2</v>
      </c>
      <c r="Q365">
        <f t="shared" si="25"/>
        <v>0.91000000000001968</v>
      </c>
      <c r="R365">
        <f t="shared" si="22"/>
        <v>1.9035718926031984E-2</v>
      </c>
      <c r="S365">
        <f t="shared" si="23"/>
        <v>2.6626546634776218E-3</v>
      </c>
    </row>
    <row r="366" spans="1:19" x14ac:dyDescent="0.15">
      <c r="A366" s="4">
        <v>34304</v>
      </c>
      <c r="B366">
        <v>1.03E-2</v>
      </c>
      <c r="C366">
        <v>1.7500000000000002E-2</v>
      </c>
      <c r="D366">
        <v>8.6E-3</v>
      </c>
      <c r="E366">
        <v>2.5700000000000001E-2</v>
      </c>
      <c r="F366">
        <v>2.24E-2</v>
      </c>
      <c r="G366">
        <v>1.8599999999999998E-2</v>
      </c>
      <c r="H366">
        <v>2.1899999999999999E-2</v>
      </c>
      <c r="P366">
        <f t="shared" si="24"/>
        <v>9.9999999999980313E-2</v>
      </c>
      <c r="Q366">
        <f t="shared" si="25"/>
        <v>0.90000000000001967</v>
      </c>
      <c r="R366">
        <f t="shared" si="22"/>
        <v>1.8957451655406455E-2</v>
      </c>
      <c r="S366">
        <f t="shared" si="23"/>
        <v>2.6335825939395878E-3</v>
      </c>
    </row>
    <row r="367" spans="1:19" x14ac:dyDescent="0.15">
      <c r="A367" s="4">
        <v>34335</v>
      </c>
      <c r="B367">
        <v>-5.1999999999999998E-3</v>
      </c>
      <c r="C367">
        <v>3.6999999999999998E-2</v>
      </c>
      <c r="D367">
        <v>5.3199999999999997E-2</v>
      </c>
      <c r="E367">
        <v>3.56E-2</v>
      </c>
      <c r="F367">
        <v>3.3999999999999998E-3</v>
      </c>
      <c r="G367">
        <v>2.0799999999999999E-2</v>
      </c>
      <c r="H367">
        <v>3.6999999999999998E-2</v>
      </c>
      <c r="P367">
        <f t="shared" si="24"/>
        <v>0.10999999999998031</v>
      </c>
      <c r="Q367">
        <f t="shared" si="25"/>
        <v>0.89000000000001966</v>
      </c>
      <c r="R367">
        <f t="shared" si="22"/>
        <v>1.8879184384780923E-2</v>
      </c>
      <c r="S367">
        <f t="shared" si="23"/>
        <v>2.6048317627389902E-3</v>
      </c>
    </row>
    <row r="368" spans="1:19" x14ac:dyDescent="0.15">
      <c r="A368" s="4">
        <v>34366</v>
      </c>
      <c r="B368">
        <v>-3.3E-3</v>
      </c>
      <c r="C368">
        <v>-3.7400000000000003E-2</v>
      </c>
      <c r="D368">
        <v>-2.5600000000000001E-2</v>
      </c>
      <c r="E368">
        <v>-8.0000000000000002E-3</v>
      </c>
      <c r="F368">
        <v>-5.1999999999999998E-2</v>
      </c>
      <c r="G368">
        <v>2.8799999999999999E-2</v>
      </c>
      <c r="H368">
        <v>-3.73E-2</v>
      </c>
      <c r="P368">
        <f t="shared" si="24"/>
        <v>0.1199999999999803</v>
      </c>
      <c r="Q368">
        <f t="shared" si="25"/>
        <v>0.88000000000001966</v>
      </c>
      <c r="R368">
        <f t="shared" si="22"/>
        <v>1.8800917114155394E-2</v>
      </c>
      <c r="S368">
        <f t="shared" si="23"/>
        <v>2.5764021698758302E-3</v>
      </c>
    </row>
    <row r="369" spans="1:19" x14ac:dyDescent="0.15">
      <c r="A369" s="4">
        <v>34394</v>
      </c>
      <c r="B369">
        <v>-2.7E-2</v>
      </c>
      <c r="C369">
        <v>-5.62E-2</v>
      </c>
      <c r="D369">
        <v>-3.6900000000000002E-2</v>
      </c>
      <c r="E369">
        <v>-4.7899999999999998E-2</v>
      </c>
      <c r="F369">
        <v>-3.9899999999999998E-2</v>
      </c>
      <c r="G369">
        <v>-3.9300000000000002E-2</v>
      </c>
      <c r="H369">
        <v>-3.2300000000000002E-2</v>
      </c>
      <c r="P369">
        <f t="shared" si="24"/>
        <v>0.1299999999999803</v>
      </c>
      <c r="Q369">
        <f t="shared" si="25"/>
        <v>0.87000000000001965</v>
      </c>
      <c r="R369">
        <f t="shared" si="22"/>
        <v>1.8722649843529861E-2</v>
      </c>
      <c r="S369">
        <f t="shared" si="23"/>
        <v>2.5482938153501065E-3</v>
      </c>
    </row>
    <row r="370" spans="1:19" x14ac:dyDescent="0.15">
      <c r="A370" s="4">
        <v>34425</v>
      </c>
      <c r="B370">
        <v>8.6E-3</v>
      </c>
      <c r="C370">
        <v>3.3099999999999997E-2</v>
      </c>
      <c r="D370">
        <v>3.15E-2</v>
      </c>
      <c r="E370">
        <v>2.8999999999999998E-3</v>
      </c>
      <c r="F370">
        <v>2.5899999999999999E-2</v>
      </c>
      <c r="G370">
        <v>8.3999999999999995E-3</v>
      </c>
      <c r="H370">
        <v>2.8199999999999999E-2</v>
      </c>
      <c r="P370">
        <f t="shared" si="24"/>
        <v>0.13999999999998031</v>
      </c>
      <c r="Q370">
        <f t="shared" si="25"/>
        <v>0.86000000000001964</v>
      </c>
      <c r="R370">
        <f t="shared" si="22"/>
        <v>1.8644382572904333E-2</v>
      </c>
      <c r="S370">
        <f t="shared" si="23"/>
        <v>2.5205066991618201E-3</v>
      </c>
    </row>
    <row r="371" spans="1:19" x14ac:dyDescent="0.15">
      <c r="A371" s="4">
        <v>34455</v>
      </c>
      <c r="B371">
        <v>2.8999999999999998E-3</v>
      </c>
      <c r="C371">
        <v>4.4499999999999998E-2</v>
      </c>
      <c r="D371">
        <v>4.0000000000000001E-3</v>
      </c>
      <c r="E371">
        <v>3.2899999999999999E-2</v>
      </c>
      <c r="F371">
        <v>-4.4200000000000003E-2</v>
      </c>
      <c r="G371">
        <v>8.0000000000000004E-4</v>
      </c>
      <c r="H371">
        <v>3.4200000000000001E-2</v>
      </c>
      <c r="P371">
        <f t="shared" si="24"/>
        <v>0.14999999999998032</v>
      </c>
      <c r="Q371">
        <f t="shared" si="25"/>
        <v>0.85000000000001963</v>
      </c>
      <c r="R371">
        <f t="shared" si="22"/>
        <v>1.85661153022788E-2</v>
      </c>
      <c r="S371">
        <f t="shared" si="23"/>
        <v>2.4930408213109704E-3</v>
      </c>
    </row>
    <row r="372" spans="1:19" x14ac:dyDescent="0.15">
      <c r="A372" s="4">
        <v>34486</v>
      </c>
      <c r="B372">
        <v>-1.6299999999999999E-2</v>
      </c>
      <c r="C372">
        <v>-2.6599999999999999E-2</v>
      </c>
      <c r="D372">
        <v>-3.7499999999999999E-2</v>
      </c>
      <c r="E372">
        <v>-2.1399999999999999E-2</v>
      </c>
      <c r="F372">
        <v>-3.1099999999999999E-2</v>
      </c>
      <c r="G372">
        <v>-3.4000000000000002E-2</v>
      </c>
      <c r="H372">
        <v>-1.77E-2</v>
      </c>
      <c r="P372">
        <f t="shared" si="24"/>
        <v>0.15999999999998032</v>
      </c>
      <c r="Q372">
        <f t="shared" si="25"/>
        <v>0.84000000000001962</v>
      </c>
      <c r="R372">
        <f t="shared" si="22"/>
        <v>1.8487848031653271E-2</v>
      </c>
      <c r="S372">
        <f t="shared" si="23"/>
        <v>2.4658961817975583E-3</v>
      </c>
    </row>
    <row r="373" spans="1:19" x14ac:dyDescent="0.15">
      <c r="A373" s="4">
        <v>34516</v>
      </c>
      <c r="B373">
        <v>4.9299999999999997E-2</v>
      </c>
      <c r="C373">
        <v>2.3300000000000001E-2</v>
      </c>
      <c r="D373">
        <v>4.7399999999999998E-2</v>
      </c>
      <c r="E373">
        <v>4.6899999999999997E-2</v>
      </c>
      <c r="F373">
        <v>5.11E-2</v>
      </c>
      <c r="G373">
        <v>1.4200000000000001E-2</v>
      </c>
      <c r="H373">
        <v>2.63E-2</v>
      </c>
      <c r="P373">
        <f t="shared" si="24"/>
        <v>0.16999999999998033</v>
      </c>
      <c r="Q373">
        <f t="shared" si="25"/>
        <v>0.83000000000001961</v>
      </c>
      <c r="R373">
        <f t="shared" si="22"/>
        <v>1.8409580761027739E-2</v>
      </c>
      <c r="S373">
        <f t="shared" si="23"/>
        <v>2.4390727806215813E-3</v>
      </c>
    </row>
    <row r="374" spans="1:19" x14ac:dyDescent="0.15">
      <c r="A374" s="4">
        <v>34547</v>
      </c>
      <c r="B374">
        <v>5.9400000000000001E-2</v>
      </c>
      <c r="C374">
        <v>0.1013</v>
      </c>
      <c r="D374">
        <v>4.1000000000000003E-3</v>
      </c>
      <c r="E374">
        <v>8.72E-2</v>
      </c>
      <c r="F374">
        <v>1.29E-2</v>
      </c>
      <c r="G374">
        <v>6.2899999999999998E-2</v>
      </c>
      <c r="H374">
        <v>2.76E-2</v>
      </c>
      <c r="P374">
        <f t="shared" si="24"/>
        <v>0.17999999999998034</v>
      </c>
      <c r="Q374">
        <f t="shared" si="25"/>
        <v>0.8200000000000196</v>
      </c>
      <c r="R374">
        <f t="shared" si="22"/>
        <v>1.833131349040221E-2</v>
      </c>
      <c r="S374">
        <f t="shared" si="23"/>
        <v>2.4125706177830423E-3</v>
      </c>
    </row>
    <row r="375" spans="1:19" x14ac:dyDescent="0.15">
      <c r="A375" s="4">
        <v>34578</v>
      </c>
      <c r="B375">
        <v>6.3E-3</v>
      </c>
      <c r="C375">
        <v>4.1000000000000003E-3</v>
      </c>
      <c r="D375">
        <v>-3.2199999999999999E-2</v>
      </c>
      <c r="E375">
        <v>1.89E-2</v>
      </c>
      <c r="F375">
        <v>-2.3599999999999999E-2</v>
      </c>
      <c r="G375">
        <v>-1.6E-2</v>
      </c>
      <c r="H375">
        <v>-4.2900000000000001E-2</v>
      </c>
      <c r="P375">
        <f t="shared" si="24"/>
        <v>0.18999999999998035</v>
      </c>
      <c r="Q375">
        <f t="shared" si="25"/>
        <v>0.81000000000001959</v>
      </c>
      <c r="R375">
        <f t="shared" si="22"/>
        <v>1.8253046219776678E-2</v>
      </c>
      <c r="S375">
        <f t="shared" si="23"/>
        <v>2.3863896932819397E-3</v>
      </c>
    </row>
    <row r="376" spans="1:19" x14ac:dyDescent="0.15">
      <c r="A376" s="4">
        <v>34608</v>
      </c>
      <c r="B376">
        <v>3.6499999999999998E-2</v>
      </c>
      <c r="C376">
        <v>1.7000000000000001E-2</v>
      </c>
      <c r="D376">
        <v>8.5199999999999998E-2</v>
      </c>
      <c r="E376">
        <v>2.4299999999999999E-2</v>
      </c>
      <c r="F376">
        <v>1.83E-2</v>
      </c>
      <c r="G376">
        <v>2.9899999999999999E-2</v>
      </c>
      <c r="H376">
        <v>2.8E-3</v>
      </c>
      <c r="P376">
        <f t="shared" si="24"/>
        <v>0.19999999999998036</v>
      </c>
      <c r="Q376">
        <f t="shared" si="25"/>
        <v>0.80000000000001958</v>
      </c>
      <c r="R376">
        <f t="shared" si="22"/>
        <v>1.8174778949151149E-2</v>
      </c>
      <c r="S376">
        <f t="shared" si="23"/>
        <v>2.3605300071182743E-3</v>
      </c>
    </row>
    <row r="377" spans="1:19" x14ac:dyDescent="0.15">
      <c r="A377" s="4">
        <v>34639</v>
      </c>
      <c r="B377">
        <v>-1.0699999999999999E-2</v>
      </c>
      <c r="C377">
        <v>-1.0699999999999999E-2</v>
      </c>
      <c r="D377">
        <v>-3.04E-2</v>
      </c>
      <c r="E377">
        <v>-2.0199999999999999E-2</v>
      </c>
      <c r="F377">
        <v>-9.7999999999999997E-3</v>
      </c>
      <c r="G377">
        <v>-2.69E-2</v>
      </c>
      <c r="H377">
        <v>-4.2500000000000003E-2</v>
      </c>
      <c r="P377">
        <f t="shared" si="24"/>
        <v>0.20999999999998037</v>
      </c>
      <c r="Q377">
        <f t="shared" si="25"/>
        <v>0.79000000000001958</v>
      </c>
      <c r="R377">
        <f t="shared" ref="R377:R440" si="26">P377*$L$55+Q377*$N$55</f>
        <v>1.809651167852562E-2</v>
      </c>
      <c r="S377">
        <f t="shared" ref="S377:S440" si="27">P377^2*$L$56+Q377^2*$N$56+2*P377*Q377*$L$60</f>
        <v>2.3349915592920456E-3</v>
      </c>
    </row>
    <row r="378" spans="1:19" x14ac:dyDescent="0.15">
      <c r="A378" s="4">
        <v>34669</v>
      </c>
      <c r="B378">
        <v>2.1700000000000001E-2</v>
      </c>
      <c r="C378">
        <v>1.4500000000000001E-2</v>
      </c>
      <c r="D378">
        <v>-1.6999999999999999E-3</v>
      </c>
      <c r="E378">
        <v>2.6700000000000002E-2</v>
      </c>
      <c r="F378">
        <v>1.0999999999999999E-2</v>
      </c>
      <c r="G378">
        <v>2E-3</v>
      </c>
      <c r="H378">
        <v>1.11E-2</v>
      </c>
      <c r="P378">
        <f t="shared" ref="P378:P441" si="28">P377+0.01</f>
        <v>0.21999999999998038</v>
      </c>
      <c r="Q378">
        <f t="shared" ref="Q378:Q441" si="29">1-P378</f>
        <v>0.78000000000001957</v>
      </c>
      <c r="R378">
        <f t="shared" si="26"/>
        <v>1.8018244407900088E-2</v>
      </c>
      <c r="S378">
        <f t="shared" si="27"/>
        <v>2.3097743498032538E-3</v>
      </c>
    </row>
    <row r="379" spans="1:19" x14ac:dyDescent="0.15">
      <c r="A379" s="4">
        <v>34700</v>
      </c>
      <c r="B379">
        <v>4.0099999999999997E-2</v>
      </c>
      <c r="C379">
        <v>3.6900000000000002E-2</v>
      </c>
      <c r="D379">
        <v>2.2599999999999999E-2</v>
      </c>
      <c r="E379">
        <v>3.3300000000000003E-2</v>
      </c>
      <c r="F379">
        <v>5.8900000000000001E-2</v>
      </c>
      <c r="G379">
        <v>1.84E-2</v>
      </c>
      <c r="H379">
        <v>5.0700000000000002E-2</v>
      </c>
      <c r="P379">
        <f t="shared" si="28"/>
        <v>0.22999999999998039</v>
      </c>
      <c r="Q379">
        <f t="shared" si="29"/>
        <v>0.77000000000001956</v>
      </c>
      <c r="R379">
        <f t="shared" si="26"/>
        <v>1.7939977137274559E-2</v>
      </c>
      <c r="S379">
        <f t="shared" si="27"/>
        <v>2.2848783786518986E-3</v>
      </c>
    </row>
    <row r="380" spans="1:19" x14ac:dyDescent="0.15">
      <c r="A380" s="4">
        <v>34731</v>
      </c>
      <c r="B380">
        <v>2.1100000000000001E-2</v>
      </c>
      <c r="C380">
        <v>3.9399999999999998E-2</v>
      </c>
      <c r="D380">
        <v>3.9100000000000003E-2</v>
      </c>
      <c r="E380">
        <v>4.5499999999999999E-2</v>
      </c>
      <c r="F380">
        <v>9.7999999999999997E-3</v>
      </c>
      <c r="G380">
        <v>2.3199999999999998E-2</v>
      </c>
      <c r="H380">
        <v>5.0299999999999997E-2</v>
      </c>
      <c r="P380">
        <f t="shared" si="28"/>
        <v>0.2399999999999804</v>
      </c>
      <c r="Q380">
        <f t="shared" si="29"/>
        <v>0.76000000000001955</v>
      </c>
      <c r="R380">
        <f t="shared" si="26"/>
        <v>1.7861709866649027E-2</v>
      </c>
      <c r="S380">
        <f t="shared" si="27"/>
        <v>2.2603036458379803E-3</v>
      </c>
    </row>
    <row r="381" spans="1:19" x14ac:dyDescent="0.15">
      <c r="A381" s="4">
        <v>34759</v>
      </c>
      <c r="B381">
        <v>2.63E-2</v>
      </c>
      <c r="C381">
        <v>3.2899999999999999E-2</v>
      </c>
      <c r="D381">
        <v>4.2299999999999997E-2</v>
      </c>
      <c r="E381">
        <v>5.2200000000000003E-2</v>
      </c>
      <c r="F381">
        <v>-1.04E-2</v>
      </c>
      <c r="G381">
        <v>2.9600000000000001E-2</v>
      </c>
      <c r="H381">
        <v>1.15E-2</v>
      </c>
      <c r="P381">
        <f t="shared" si="28"/>
        <v>0.2499999999999804</v>
      </c>
      <c r="Q381">
        <f t="shared" si="29"/>
        <v>0.75000000000001954</v>
      </c>
      <c r="R381">
        <f t="shared" si="26"/>
        <v>1.7783442596023498E-2</v>
      </c>
      <c r="S381">
        <f t="shared" si="27"/>
        <v>2.2360501513614987E-3</v>
      </c>
    </row>
    <row r="382" spans="1:19" x14ac:dyDescent="0.15">
      <c r="A382" s="4">
        <v>34790</v>
      </c>
      <c r="B382">
        <v>2.18E-2</v>
      </c>
      <c r="C382">
        <v>3.8399999999999997E-2</v>
      </c>
      <c r="D382">
        <v>2.2499999999999999E-2</v>
      </c>
      <c r="E382">
        <v>6.3299999999999995E-2</v>
      </c>
      <c r="F382">
        <v>2.3E-2</v>
      </c>
      <c r="G382">
        <v>2.5999999999999999E-3</v>
      </c>
      <c r="H382">
        <v>2.7199999999999998E-2</v>
      </c>
      <c r="P382">
        <f t="shared" si="28"/>
        <v>0.25999999999998041</v>
      </c>
      <c r="Q382">
        <f t="shared" si="29"/>
        <v>0.74000000000001953</v>
      </c>
      <c r="R382">
        <f t="shared" si="26"/>
        <v>1.7705175325397966E-2</v>
      </c>
      <c r="S382">
        <f t="shared" si="27"/>
        <v>2.2121178952224543E-3</v>
      </c>
    </row>
    <row r="383" spans="1:19" x14ac:dyDescent="0.15">
      <c r="A383" s="4">
        <v>34820</v>
      </c>
      <c r="B383">
        <v>4.9299999999999997E-2</v>
      </c>
      <c r="C383">
        <v>3.1600000000000003E-2</v>
      </c>
      <c r="D383">
        <v>3.95E-2</v>
      </c>
      <c r="E383">
        <v>2.5000000000000001E-2</v>
      </c>
      <c r="F383">
        <v>6.1199999999999997E-2</v>
      </c>
      <c r="G383">
        <v>2.7400000000000001E-2</v>
      </c>
      <c r="H383">
        <v>5.0999999999999997E-2</v>
      </c>
      <c r="P383">
        <f t="shared" si="28"/>
        <v>0.26999999999998042</v>
      </c>
      <c r="Q383">
        <f t="shared" si="29"/>
        <v>0.73000000000001952</v>
      </c>
      <c r="R383">
        <f t="shared" si="26"/>
        <v>1.7626908054772437E-2</v>
      </c>
      <c r="S383">
        <f t="shared" si="27"/>
        <v>2.1885068774208463E-3</v>
      </c>
    </row>
    <row r="384" spans="1:19" x14ac:dyDescent="0.15">
      <c r="A384" s="4">
        <v>34851</v>
      </c>
      <c r="B384">
        <v>1.8800000000000001E-2</v>
      </c>
      <c r="C384">
        <v>3.6400000000000002E-2</v>
      </c>
      <c r="D384">
        <v>-3.39E-2</v>
      </c>
      <c r="E384">
        <v>6.0600000000000001E-2</v>
      </c>
      <c r="F384">
        <v>-2.0000000000000001E-4</v>
      </c>
      <c r="G384">
        <v>4.6600000000000003E-2</v>
      </c>
      <c r="H384">
        <v>1.7399999999999999E-2</v>
      </c>
      <c r="P384">
        <f t="shared" si="28"/>
        <v>0.27999999999998043</v>
      </c>
      <c r="Q384">
        <f t="shared" si="29"/>
        <v>0.72000000000001951</v>
      </c>
      <c r="R384">
        <f t="shared" si="26"/>
        <v>1.7548640784146908E-2</v>
      </c>
      <c r="S384">
        <f t="shared" si="27"/>
        <v>2.1652170979566754E-3</v>
      </c>
    </row>
    <row r="385" spans="1:19" x14ac:dyDescent="0.15">
      <c r="A385" s="4">
        <v>34881</v>
      </c>
      <c r="B385">
        <v>1.5100000000000001E-2</v>
      </c>
      <c r="C385">
        <v>3.2000000000000001E-2</v>
      </c>
      <c r="D385">
        <v>3.32E-2</v>
      </c>
      <c r="E385">
        <v>5.4300000000000001E-2</v>
      </c>
      <c r="F385">
        <v>7.6E-3</v>
      </c>
      <c r="G385">
        <v>5.6300000000000003E-2</v>
      </c>
      <c r="H385">
        <v>4.2200000000000001E-2</v>
      </c>
      <c r="P385">
        <f t="shared" si="28"/>
        <v>0.28999999999998044</v>
      </c>
      <c r="Q385">
        <f t="shared" si="29"/>
        <v>0.7100000000000195</v>
      </c>
      <c r="R385">
        <f t="shared" si="26"/>
        <v>1.7470373513521376E-2</v>
      </c>
      <c r="S385">
        <f t="shared" si="27"/>
        <v>2.1422485568299418E-3</v>
      </c>
    </row>
    <row r="386" spans="1:19" x14ac:dyDescent="0.15">
      <c r="A386" s="4">
        <v>34912</v>
      </c>
      <c r="B386">
        <v>-9.9000000000000008E-3</v>
      </c>
      <c r="C386">
        <v>0.01</v>
      </c>
      <c r="D386">
        <v>-2.76E-2</v>
      </c>
      <c r="E386">
        <v>1.4200000000000001E-2</v>
      </c>
      <c r="F386">
        <v>1.8E-3</v>
      </c>
      <c r="G386">
        <v>-6.3E-3</v>
      </c>
      <c r="H386">
        <v>4.3799999999999999E-2</v>
      </c>
      <c r="P386">
        <f t="shared" si="28"/>
        <v>0.29999999999998045</v>
      </c>
      <c r="Q386">
        <f t="shared" si="29"/>
        <v>0.7000000000000195</v>
      </c>
      <c r="R386">
        <f t="shared" si="26"/>
        <v>1.7392106242895847E-2</v>
      </c>
      <c r="S386">
        <f t="shared" si="27"/>
        <v>2.1196012540406445E-3</v>
      </c>
    </row>
    <row r="387" spans="1:19" x14ac:dyDescent="0.15">
      <c r="A387" s="4">
        <v>34943</v>
      </c>
      <c r="B387">
        <v>7.2099999999999997E-2</v>
      </c>
      <c r="C387">
        <v>6.7599999999999993E-2</v>
      </c>
      <c r="D387">
        <v>2.8400000000000002E-2</v>
      </c>
      <c r="E387">
        <v>5.6300000000000003E-2</v>
      </c>
      <c r="F387">
        <v>5.2999999999999999E-2</v>
      </c>
      <c r="G387">
        <v>2.6599999999999999E-2</v>
      </c>
      <c r="H387">
        <v>4.6800000000000001E-2</v>
      </c>
      <c r="P387">
        <f t="shared" si="28"/>
        <v>0.30999999999998046</v>
      </c>
      <c r="Q387">
        <f t="shared" si="29"/>
        <v>0.69000000000001949</v>
      </c>
      <c r="R387">
        <f t="shared" si="26"/>
        <v>1.7313838972270318E-2</v>
      </c>
      <c r="S387">
        <f t="shared" si="27"/>
        <v>2.0972751895887839E-3</v>
      </c>
    </row>
    <row r="388" spans="1:19" x14ac:dyDescent="0.15">
      <c r="A388" s="4">
        <v>34973</v>
      </c>
      <c r="B388">
        <v>1.84E-2</v>
      </c>
      <c r="C388">
        <v>4.3E-3</v>
      </c>
      <c r="D388">
        <v>2.2200000000000001E-2</v>
      </c>
      <c r="E388">
        <v>3.8699999999999998E-2</v>
      </c>
      <c r="F388">
        <v>1.4E-2</v>
      </c>
      <c r="G388">
        <v>-1.1599999999999999E-2</v>
      </c>
      <c r="H388">
        <v>-1.14E-2</v>
      </c>
      <c r="P388">
        <f t="shared" si="28"/>
        <v>0.31999999999998047</v>
      </c>
      <c r="Q388">
        <f t="shared" si="29"/>
        <v>0.68000000000001948</v>
      </c>
      <c r="R388">
        <f t="shared" si="26"/>
        <v>1.7235571701644786E-2</v>
      </c>
      <c r="S388">
        <f t="shared" si="27"/>
        <v>2.0752703634743601E-3</v>
      </c>
    </row>
    <row r="389" spans="1:19" x14ac:dyDescent="0.15">
      <c r="A389" s="4">
        <v>35004</v>
      </c>
      <c r="B389">
        <v>4.2900000000000001E-2</v>
      </c>
      <c r="C389">
        <v>5.4199999999999998E-2</v>
      </c>
      <c r="D389">
        <v>4.1000000000000002E-2</v>
      </c>
      <c r="E389">
        <v>2.1600000000000001E-2</v>
      </c>
      <c r="F389">
        <v>2.0299999999999999E-2</v>
      </c>
      <c r="G389">
        <v>4.6199999999999998E-2</v>
      </c>
      <c r="H389">
        <v>5.6599999999999998E-2</v>
      </c>
      <c r="P389">
        <f t="shared" si="28"/>
        <v>0.32999999999998048</v>
      </c>
      <c r="Q389">
        <f t="shared" si="29"/>
        <v>0.67000000000001947</v>
      </c>
      <c r="R389">
        <f t="shared" si="26"/>
        <v>1.7157304431019253E-2</v>
      </c>
      <c r="S389">
        <f t="shared" si="27"/>
        <v>2.0535867756973736E-3</v>
      </c>
    </row>
    <row r="390" spans="1:19" x14ac:dyDescent="0.15">
      <c r="A390" s="4">
        <v>35034</v>
      </c>
      <c r="B390">
        <v>1.34E-2</v>
      </c>
      <c r="C390">
        <v>5.7500000000000002E-2</v>
      </c>
      <c r="D390">
        <v>5.2600000000000001E-2</v>
      </c>
      <c r="E390">
        <v>1.0800000000000001E-2</v>
      </c>
      <c r="F390">
        <v>0.05</v>
      </c>
      <c r="G390">
        <v>2.0299999999999999E-2</v>
      </c>
      <c r="H390">
        <v>2.1999999999999999E-2</v>
      </c>
      <c r="P390">
        <f t="shared" si="28"/>
        <v>0.33999999999998048</v>
      </c>
      <c r="Q390">
        <f t="shared" si="29"/>
        <v>0.66000000000001946</v>
      </c>
      <c r="R390">
        <f t="shared" si="26"/>
        <v>1.7079037160393724E-2</v>
      </c>
      <c r="S390">
        <f t="shared" si="27"/>
        <v>2.0322244262578233E-3</v>
      </c>
    </row>
    <row r="391" spans="1:19" x14ac:dyDescent="0.15">
      <c r="A391" s="4">
        <v>35065</v>
      </c>
      <c r="B391">
        <v>3.8800000000000001E-2</v>
      </c>
      <c r="C391">
        <v>5.7500000000000002E-2</v>
      </c>
      <c r="D391">
        <v>-1.1000000000000001E-3</v>
      </c>
      <c r="E391">
        <v>5.4600000000000003E-2</v>
      </c>
      <c r="F391">
        <v>1.9699999999999999E-2</v>
      </c>
      <c r="G391">
        <v>1.49E-2</v>
      </c>
      <c r="H391">
        <v>3.9699999999999999E-2</v>
      </c>
      <c r="P391">
        <f t="shared" si="28"/>
        <v>0.34999999999998049</v>
      </c>
      <c r="Q391">
        <f t="shared" si="29"/>
        <v>0.65000000000001945</v>
      </c>
      <c r="R391">
        <f t="shared" si="26"/>
        <v>1.7000769889768196E-2</v>
      </c>
      <c r="S391">
        <f t="shared" si="27"/>
        <v>2.0111833151557103E-3</v>
      </c>
    </row>
    <row r="392" spans="1:19" x14ac:dyDescent="0.15">
      <c r="A392" s="4">
        <v>35096</v>
      </c>
      <c r="B392">
        <v>1.7999999999999999E-2</v>
      </c>
      <c r="C392">
        <v>-1.4E-3</v>
      </c>
      <c r="D392">
        <v>1.1599999999999999E-2</v>
      </c>
      <c r="E392">
        <v>4.4299999999999999E-2</v>
      </c>
      <c r="F392">
        <v>-2.3099999999999999E-2</v>
      </c>
      <c r="G392">
        <v>4.3799999999999999E-2</v>
      </c>
      <c r="H392">
        <v>1.0999999999999999E-2</v>
      </c>
      <c r="P392">
        <f t="shared" si="28"/>
        <v>0.3599999999999805</v>
      </c>
      <c r="Q392">
        <f t="shared" si="29"/>
        <v>0.64000000000001944</v>
      </c>
      <c r="R392">
        <f t="shared" si="26"/>
        <v>1.6922502619142663E-2</v>
      </c>
      <c r="S392">
        <f t="shared" si="27"/>
        <v>1.990463442391034E-3</v>
      </c>
    </row>
    <row r="393" spans="1:19" x14ac:dyDescent="0.15">
      <c r="A393" s="4">
        <v>35125</v>
      </c>
      <c r="B393">
        <v>5.8999999999999999E-3</v>
      </c>
      <c r="C393">
        <v>2.1000000000000001E-2</v>
      </c>
      <c r="D393">
        <v>4.2799999999999998E-2</v>
      </c>
      <c r="E393">
        <v>-3.8E-3</v>
      </c>
      <c r="F393">
        <v>4.7000000000000002E-3</v>
      </c>
      <c r="G393">
        <v>6.0100000000000001E-2</v>
      </c>
      <c r="H393">
        <v>1.3299999999999999E-2</v>
      </c>
      <c r="P393">
        <f t="shared" si="28"/>
        <v>0.36999999999998051</v>
      </c>
      <c r="Q393">
        <f t="shared" si="29"/>
        <v>0.63000000000001943</v>
      </c>
      <c r="R393">
        <f t="shared" si="26"/>
        <v>1.6844235348517134E-2</v>
      </c>
      <c r="S393">
        <f t="shared" si="27"/>
        <v>1.9700648079637949E-3</v>
      </c>
    </row>
    <row r="394" spans="1:19" x14ac:dyDescent="0.15">
      <c r="A394" s="4">
        <v>35156</v>
      </c>
      <c r="B394">
        <v>-9.4999999999999998E-3</v>
      </c>
      <c r="C394">
        <v>-2.5000000000000001E-3</v>
      </c>
      <c r="D394">
        <v>2.64E-2</v>
      </c>
      <c r="E394">
        <v>7.4399999999999994E-2</v>
      </c>
      <c r="F394">
        <v>-1.2800000000000001E-2</v>
      </c>
      <c r="G394">
        <v>5.0099999999999999E-2</v>
      </c>
      <c r="H394">
        <v>1.6000000000000001E-3</v>
      </c>
      <c r="P394">
        <f t="shared" si="28"/>
        <v>0.37999999999998052</v>
      </c>
      <c r="Q394">
        <f t="shared" si="29"/>
        <v>0.62000000000001942</v>
      </c>
      <c r="R394">
        <f t="shared" si="26"/>
        <v>1.6765968077891602E-2</v>
      </c>
      <c r="S394">
        <f t="shared" si="27"/>
        <v>1.9499874118739922E-3</v>
      </c>
    </row>
    <row r="395" spans="1:19" x14ac:dyDescent="0.15">
      <c r="A395" s="4">
        <v>35186</v>
      </c>
      <c r="B395">
        <v>6.4199999999999993E-2</v>
      </c>
      <c r="C395">
        <v>3.2500000000000001E-2</v>
      </c>
      <c r="D395">
        <v>6.1000000000000004E-3</v>
      </c>
      <c r="E395">
        <v>4.6800000000000001E-2</v>
      </c>
      <c r="F395">
        <v>2.2599999999999999E-2</v>
      </c>
      <c r="G395">
        <v>4.9599999999999998E-2</v>
      </c>
      <c r="H395">
        <v>1.8200000000000001E-2</v>
      </c>
      <c r="P395">
        <f t="shared" si="28"/>
        <v>0.38999999999998053</v>
      </c>
      <c r="Q395">
        <f t="shared" si="29"/>
        <v>0.61000000000001942</v>
      </c>
      <c r="R395">
        <f t="shared" si="26"/>
        <v>1.6687700807266073E-2</v>
      </c>
      <c r="S395">
        <f t="shared" si="27"/>
        <v>1.9302312541216262E-3</v>
      </c>
    </row>
    <row r="396" spans="1:19" x14ac:dyDescent="0.15">
      <c r="A396" s="4">
        <v>35217</v>
      </c>
      <c r="B396">
        <v>4.1700000000000001E-2</v>
      </c>
      <c r="C396">
        <v>1.14E-2</v>
      </c>
      <c r="D396">
        <v>5.7999999999999996E-3</v>
      </c>
      <c r="E396">
        <v>-2.9600000000000001E-2</v>
      </c>
      <c r="F396">
        <v>4.5199999999999997E-2</v>
      </c>
      <c r="G396">
        <v>-9.4000000000000004E-3</v>
      </c>
      <c r="H396">
        <v>1.14E-2</v>
      </c>
      <c r="P396">
        <f t="shared" si="28"/>
        <v>0.39999999999998054</v>
      </c>
      <c r="Q396">
        <f t="shared" si="29"/>
        <v>0.60000000000001941</v>
      </c>
      <c r="R396">
        <f t="shared" si="26"/>
        <v>1.6609433536640544E-2</v>
      </c>
      <c r="S396">
        <f t="shared" si="27"/>
        <v>1.9107963347066974E-3</v>
      </c>
    </row>
    <row r="397" spans="1:19" x14ac:dyDescent="0.15">
      <c r="A397" s="4">
        <v>35247</v>
      </c>
      <c r="B397">
        <v>-3.7499999999999999E-2</v>
      </c>
      <c r="C397">
        <v>-3.6600000000000001E-2</v>
      </c>
      <c r="D397">
        <v>-3.4500000000000003E-2</v>
      </c>
      <c r="E397">
        <v>-6.7000000000000004E-2</v>
      </c>
      <c r="F397">
        <v>-5.8299999999999998E-2</v>
      </c>
      <c r="G397">
        <v>-5.8000000000000003E-2</v>
      </c>
      <c r="H397">
        <v>-2.1100000000000001E-2</v>
      </c>
      <c r="P397">
        <f t="shared" si="28"/>
        <v>0.40999999999998055</v>
      </c>
      <c r="Q397">
        <f t="shared" si="29"/>
        <v>0.5900000000000194</v>
      </c>
      <c r="R397">
        <f t="shared" si="26"/>
        <v>1.6531166266015012E-2</v>
      </c>
      <c r="S397">
        <f t="shared" si="27"/>
        <v>1.8916826536292052E-3</v>
      </c>
    </row>
    <row r="398" spans="1:19" x14ac:dyDescent="0.15">
      <c r="A398" s="4">
        <v>35278</v>
      </c>
      <c r="B398">
        <v>1.1599999999999999E-2</v>
      </c>
      <c r="C398">
        <v>3.73E-2</v>
      </c>
      <c r="D398">
        <v>1.9400000000000001E-2</v>
      </c>
      <c r="E398">
        <v>4.0800000000000003E-2</v>
      </c>
      <c r="F398">
        <v>3.4099999999999998E-2</v>
      </c>
      <c r="G398">
        <v>5.9499999999999997E-2</v>
      </c>
      <c r="H398">
        <v>3.6200000000000003E-2</v>
      </c>
      <c r="P398">
        <f t="shared" si="28"/>
        <v>0.41999999999998056</v>
      </c>
      <c r="Q398">
        <f t="shared" si="29"/>
        <v>0.58000000000001939</v>
      </c>
      <c r="R398">
        <f t="shared" si="26"/>
        <v>1.645289899538948E-2</v>
      </c>
      <c r="S398">
        <f t="shared" si="27"/>
        <v>1.8728902108891498E-3</v>
      </c>
    </row>
    <row r="399" spans="1:19" x14ac:dyDescent="0.15">
      <c r="A399" s="4">
        <v>35309</v>
      </c>
      <c r="B399">
        <v>5.6500000000000002E-2</v>
      </c>
      <c r="C399">
        <v>7.8200000000000006E-2</v>
      </c>
      <c r="D399">
        <v>0.04</v>
      </c>
      <c r="E399">
        <v>7.7899999999999997E-2</v>
      </c>
      <c r="F399">
        <v>1.21E-2</v>
      </c>
      <c r="G399">
        <v>5.6500000000000002E-2</v>
      </c>
      <c r="H399">
        <v>5.21E-2</v>
      </c>
      <c r="P399">
        <f t="shared" si="28"/>
        <v>0.42999999999998056</v>
      </c>
      <c r="Q399">
        <f t="shared" si="29"/>
        <v>0.57000000000001938</v>
      </c>
      <c r="R399">
        <f t="shared" si="26"/>
        <v>1.6374631724763951E-2</v>
      </c>
      <c r="S399">
        <f t="shared" si="27"/>
        <v>1.8544190064865315E-3</v>
      </c>
    </row>
    <row r="400" spans="1:19" x14ac:dyDescent="0.15">
      <c r="A400" s="4">
        <v>35339</v>
      </c>
      <c r="B400">
        <v>1.12E-2</v>
      </c>
      <c r="C400">
        <v>2.23E-2</v>
      </c>
      <c r="D400">
        <v>4.7600000000000003E-2</v>
      </c>
      <c r="E400">
        <v>-4.3799999999999999E-2</v>
      </c>
      <c r="F400">
        <v>4.3099999999999999E-2</v>
      </c>
      <c r="G400">
        <v>-2.86E-2</v>
      </c>
      <c r="H400">
        <v>5.6800000000000003E-2</v>
      </c>
      <c r="P400">
        <f t="shared" si="28"/>
        <v>0.43999999999998057</v>
      </c>
      <c r="Q400">
        <f t="shared" si="29"/>
        <v>0.56000000000001937</v>
      </c>
      <c r="R400">
        <f t="shared" si="26"/>
        <v>1.6296364454138422E-2</v>
      </c>
      <c r="S400">
        <f t="shared" si="27"/>
        <v>1.8362690404213496E-3</v>
      </c>
    </row>
    <row r="401" spans="1:19" x14ac:dyDescent="0.15">
      <c r="A401" s="4">
        <v>35370</v>
      </c>
      <c r="B401">
        <v>5.45E-2</v>
      </c>
      <c r="C401">
        <v>7.1499999999999994E-2</v>
      </c>
      <c r="D401">
        <v>5.8500000000000003E-2</v>
      </c>
      <c r="E401">
        <v>9.74E-2</v>
      </c>
      <c r="F401">
        <v>2.9700000000000001E-2</v>
      </c>
      <c r="G401">
        <v>4.0899999999999999E-2</v>
      </c>
      <c r="H401">
        <v>7.6700000000000004E-2</v>
      </c>
      <c r="P401">
        <f t="shared" si="28"/>
        <v>0.44999999999998058</v>
      </c>
      <c r="Q401">
        <f t="shared" si="29"/>
        <v>0.55000000000001936</v>
      </c>
      <c r="R401">
        <f t="shared" si="26"/>
        <v>1.6218097183512893E-2</v>
      </c>
      <c r="S401">
        <f t="shared" si="27"/>
        <v>1.8184403126936051E-3</v>
      </c>
    </row>
    <row r="402" spans="1:19" x14ac:dyDescent="0.15">
      <c r="A402" s="4">
        <v>35400</v>
      </c>
      <c r="B402">
        <v>-6.7999999999999996E-3</v>
      </c>
      <c r="C402">
        <v>-2.1100000000000001E-2</v>
      </c>
      <c r="D402">
        <v>8.6999999999999994E-3</v>
      </c>
      <c r="E402">
        <v>-1.12E-2</v>
      </c>
      <c r="F402">
        <v>-4.3E-3</v>
      </c>
      <c r="G402">
        <v>-1.2E-2</v>
      </c>
      <c r="H402">
        <v>-5.7000000000000002E-3</v>
      </c>
      <c r="P402">
        <f t="shared" si="28"/>
        <v>0.45999999999998059</v>
      </c>
      <c r="Q402">
        <f t="shared" si="29"/>
        <v>0.54000000000001935</v>
      </c>
      <c r="R402">
        <f t="shared" si="26"/>
        <v>1.6139829912887361E-2</v>
      </c>
      <c r="S402">
        <f t="shared" si="27"/>
        <v>1.8009328233032972E-3</v>
      </c>
    </row>
    <row r="403" spans="1:19" x14ac:dyDescent="0.15">
      <c r="A403" s="4">
        <v>35431</v>
      </c>
      <c r="B403">
        <v>6.9900000000000004E-2</v>
      </c>
      <c r="C403">
        <v>9.3399999999999997E-2</v>
      </c>
      <c r="D403">
        <v>4.9000000000000002E-2</v>
      </c>
      <c r="E403">
        <v>8.0299999999999996E-2</v>
      </c>
      <c r="F403">
        <v>3.32E-2</v>
      </c>
      <c r="G403">
        <v>2.4400000000000002E-2</v>
      </c>
      <c r="H403">
        <v>6.4799999999999996E-2</v>
      </c>
      <c r="P403">
        <f t="shared" si="28"/>
        <v>0.4699999999999806</v>
      </c>
      <c r="Q403">
        <f t="shared" si="29"/>
        <v>0.53000000000001934</v>
      </c>
      <c r="R403">
        <f t="shared" si="26"/>
        <v>1.6061562642261832E-2</v>
      </c>
      <c r="S403">
        <f t="shared" si="27"/>
        <v>1.783746572250426E-3</v>
      </c>
    </row>
    <row r="404" spans="1:19" x14ac:dyDescent="0.15">
      <c r="A404" s="4">
        <v>35462</v>
      </c>
      <c r="B404">
        <v>3.7900000000000003E-2</v>
      </c>
      <c r="C404">
        <v>1.77E-2</v>
      </c>
      <c r="D404">
        <v>-3.7100000000000001E-2</v>
      </c>
      <c r="E404">
        <v>1.8100000000000002E-2</v>
      </c>
      <c r="F404">
        <v>-1.35E-2</v>
      </c>
      <c r="G404">
        <v>1.21E-2</v>
      </c>
      <c r="H404">
        <v>3.56E-2</v>
      </c>
      <c r="P404">
        <f t="shared" si="28"/>
        <v>0.47999999999998061</v>
      </c>
      <c r="Q404">
        <f t="shared" si="29"/>
        <v>0.52000000000001934</v>
      </c>
      <c r="R404">
        <f t="shared" si="26"/>
        <v>1.59832953716363E-2</v>
      </c>
      <c r="S404">
        <f t="shared" si="27"/>
        <v>1.7668815595349918E-3</v>
      </c>
    </row>
    <row r="405" spans="1:19" x14ac:dyDescent="0.15">
      <c r="A405" s="4">
        <v>35490</v>
      </c>
      <c r="B405">
        <v>-3.6400000000000002E-2</v>
      </c>
      <c r="C405">
        <v>-4.8899999999999999E-2</v>
      </c>
      <c r="D405">
        <v>6.8599999999999994E-2</v>
      </c>
      <c r="E405">
        <v>-6.8099999999999994E-2</v>
      </c>
      <c r="F405">
        <v>-3.0099999999999998E-2</v>
      </c>
      <c r="G405">
        <v>-2.06E-2</v>
      </c>
      <c r="H405">
        <v>-5.3800000000000001E-2</v>
      </c>
      <c r="P405">
        <f t="shared" si="28"/>
        <v>0.48999999999998062</v>
      </c>
      <c r="Q405">
        <f t="shared" si="29"/>
        <v>0.51000000000001933</v>
      </c>
      <c r="R405">
        <f t="shared" si="26"/>
        <v>1.5905028101010771E-2</v>
      </c>
      <c r="S405">
        <f t="shared" si="27"/>
        <v>1.7503377851569944E-3</v>
      </c>
    </row>
    <row r="406" spans="1:19" x14ac:dyDescent="0.15">
      <c r="A406" s="4">
        <v>35521</v>
      </c>
      <c r="B406">
        <v>7.7200000000000005E-2</v>
      </c>
      <c r="C406">
        <v>6.5100000000000005E-2</v>
      </c>
      <c r="D406">
        <v>1.5100000000000001E-2</v>
      </c>
      <c r="E406">
        <v>6.93E-2</v>
      </c>
      <c r="F406">
        <v>-1.6E-2</v>
      </c>
      <c r="G406">
        <v>2.4400000000000002E-2</v>
      </c>
      <c r="H406">
        <v>5.3800000000000001E-2</v>
      </c>
      <c r="P406">
        <f t="shared" si="28"/>
        <v>0.49999999999998063</v>
      </c>
      <c r="Q406">
        <f t="shared" si="29"/>
        <v>0.50000000000001932</v>
      </c>
      <c r="R406">
        <f t="shared" si="26"/>
        <v>1.5826760830385242E-2</v>
      </c>
      <c r="S406">
        <f t="shared" si="27"/>
        <v>1.7341152491164337E-3</v>
      </c>
    </row>
    <row r="407" spans="1:19" x14ac:dyDescent="0.15">
      <c r="A407" s="4">
        <v>35551</v>
      </c>
      <c r="B407">
        <v>4.6600000000000003E-2</v>
      </c>
      <c r="C407">
        <v>7.51E-2</v>
      </c>
      <c r="D407">
        <v>5.9400000000000001E-2</v>
      </c>
      <c r="E407">
        <v>5.0200000000000002E-2</v>
      </c>
      <c r="F407">
        <v>4.4699999999999997E-2</v>
      </c>
      <c r="G407">
        <v>7.4099999999999999E-2</v>
      </c>
      <c r="H407">
        <v>5.3600000000000002E-2</v>
      </c>
      <c r="P407">
        <f t="shared" si="28"/>
        <v>0.50999999999998058</v>
      </c>
      <c r="Q407">
        <f t="shared" si="29"/>
        <v>0.49000000000001942</v>
      </c>
      <c r="R407">
        <f t="shared" si="26"/>
        <v>1.574849355975971E-2</v>
      </c>
      <c r="S407">
        <f t="shared" si="27"/>
        <v>1.7182139514133102E-3</v>
      </c>
    </row>
    <row r="408" spans="1:19" x14ac:dyDescent="0.15">
      <c r="A408" s="4">
        <v>35582</v>
      </c>
      <c r="B408">
        <v>3.9800000000000002E-2</v>
      </c>
      <c r="C408">
        <v>8.6800000000000002E-2</v>
      </c>
      <c r="D408">
        <v>2.1999999999999999E-2</v>
      </c>
      <c r="E408">
        <v>6.3799999999999996E-2</v>
      </c>
      <c r="F408">
        <v>3.09E-2</v>
      </c>
      <c r="G408">
        <v>5.4199999999999998E-2</v>
      </c>
      <c r="H408">
        <v>5.9700000000000003E-2</v>
      </c>
      <c r="P408">
        <f t="shared" si="28"/>
        <v>0.51999999999998059</v>
      </c>
      <c r="Q408">
        <f t="shared" si="29"/>
        <v>0.48000000000001941</v>
      </c>
      <c r="R408">
        <f t="shared" si="26"/>
        <v>1.5670226289134181E-2</v>
      </c>
      <c r="S408">
        <f t="shared" si="27"/>
        <v>1.7026338920476231E-3</v>
      </c>
    </row>
    <row r="409" spans="1:19" x14ac:dyDescent="0.15">
      <c r="A409" s="4">
        <v>35612</v>
      </c>
      <c r="B409">
        <v>3.49E-2</v>
      </c>
      <c r="C409">
        <v>5.4100000000000002E-2</v>
      </c>
      <c r="D409">
        <v>6.3200000000000006E-2</v>
      </c>
      <c r="E409">
        <v>7.0199999999999999E-2</v>
      </c>
      <c r="F409">
        <v>3.3500000000000002E-2</v>
      </c>
      <c r="G409">
        <v>6.0499999999999998E-2</v>
      </c>
      <c r="H409">
        <v>9.74E-2</v>
      </c>
      <c r="P409">
        <f t="shared" si="28"/>
        <v>0.5299999999999806</v>
      </c>
      <c r="Q409">
        <f t="shared" si="29"/>
        <v>0.4700000000000194</v>
      </c>
      <c r="R409">
        <f t="shared" si="26"/>
        <v>1.559195901850865E-2</v>
      </c>
      <c r="S409">
        <f t="shared" si="27"/>
        <v>1.6873750710193732E-3</v>
      </c>
    </row>
    <row r="410" spans="1:19" x14ac:dyDescent="0.15">
      <c r="A410" s="4">
        <v>35643</v>
      </c>
      <c r="B410">
        <v>-8.5500000000000007E-2</v>
      </c>
      <c r="C410">
        <v>-6.7900000000000002E-2</v>
      </c>
      <c r="D410">
        <v>-2.3199999999999998E-2</v>
      </c>
      <c r="E410">
        <v>-3.7600000000000001E-2</v>
      </c>
      <c r="F410">
        <v>-1.1599999999999999E-2</v>
      </c>
      <c r="G410">
        <v>-9.4000000000000004E-3</v>
      </c>
      <c r="H410">
        <v>-4.2799999999999998E-2</v>
      </c>
      <c r="P410">
        <f t="shared" si="28"/>
        <v>0.53999999999998061</v>
      </c>
      <c r="Q410">
        <f t="shared" si="29"/>
        <v>0.46000000000001939</v>
      </c>
      <c r="R410">
        <f t="shared" si="26"/>
        <v>1.551369174788312E-2</v>
      </c>
      <c r="S410">
        <f t="shared" si="27"/>
        <v>1.6724374883285596E-3</v>
      </c>
    </row>
    <row r="411" spans="1:19" x14ac:dyDescent="0.15">
      <c r="A411" s="4">
        <v>35674</v>
      </c>
      <c r="B411">
        <v>7.5200000000000003E-2</v>
      </c>
      <c r="C411">
        <v>6.2700000000000006E-2</v>
      </c>
      <c r="D411">
        <v>5.7799999999999997E-2</v>
      </c>
      <c r="E411">
        <v>7.0800000000000002E-2</v>
      </c>
      <c r="F411">
        <v>6.6299999999999998E-2</v>
      </c>
      <c r="G411">
        <v>6.8599999999999994E-2</v>
      </c>
      <c r="H411">
        <v>7.9000000000000001E-2</v>
      </c>
      <c r="P411">
        <f t="shared" si="28"/>
        <v>0.54999999999998062</v>
      </c>
      <c r="Q411">
        <f t="shared" si="29"/>
        <v>0.45000000000001938</v>
      </c>
      <c r="R411">
        <f t="shared" si="26"/>
        <v>1.5435424477257589E-2</v>
      </c>
      <c r="S411">
        <f t="shared" si="27"/>
        <v>1.6578211439751832E-3</v>
      </c>
    </row>
    <row r="412" spans="1:19" x14ac:dyDescent="0.15">
      <c r="A412" s="4">
        <v>35704</v>
      </c>
      <c r="B412">
        <v>-3.1300000000000001E-2</v>
      </c>
      <c r="C412">
        <v>5.4000000000000003E-3</v>
      </c>
      <c r="D412">
        <v>-3.2300000000000002E-2</v>
      </c>
      <c r="E412">
        <v>-6.4299999999999996E-2</v>
      </c>
      <c r="F412">
        <v>-8.2000000000000007E-3</v>
      </c>
      <c r="G412">
        <v>1.1999999999999999E-3</v>
      </c>
      <c r="H412">
        <v>-1.72E-2</v>
      </c>
      <c r="P412">
        <f t="shared" si="28"/>
        <v>0.55999999999998062</v>
      </c>
      <c r="Q412">
        <f t="shared" si="29"/>
        <v>0.44000000000001938</v>
      </c>
      <c r="R412">
        <f t="shared" si="26"/>
        <v>1.5357157206632058E-2</v>
      </c>
      <c r="S412">
        <f t="shared" si="27"/>
        <v>1.6435260379592436E-3</v>
      </c>
    </row>
    <row r="413" spans="1:19" x14ac:dyDescent="0.15">
      <c r="A413" s="4">
        <v>35735</v>
      </c>
      <c r="B413">
        <v>7.7100000000000002E-2</v>
      </c>
      <c r="C413">
        <v>3.8100000000000002E-2</v>
      </c>
      <c r="D413">
        <v>-8.0000000000000002E-3</v>
      </c>
      <c r="E413">
        <v>3.1800000000000002E-2</v>
      </c>
      <c r="F413">
        <v>6.7299999999999999E-2</v>
      </c>
      <c r="G413">
        <v>4.3499999999999997E-2</v>
      </c>
      <c r="H413">
        <v>4.3999999999999997E-2</v>
      </c>
      <c r="P413">
        <f t="shared" si="28"/>
        <v>0.56999999999998063</v>
      </c>
      <c r="Q413">
        <f t="shared" si="29"/>
        <v>0.43000000000001937</v>
      </c>
      <c r="R413">
        <f t="shared" si="26"/>
        <v>1.527888993600653E-2</v>
      </c>
      <c r="S413">
        <f t="shared" si="27"/>
        <v>1.6295521702807409E-3</v>
      </c>
    </row>
    <row r="414" spans="1:19" x14ac:dyDescent="0.15">
      <c r="A414" s="4">
        <v>35765</v>
      </c>
      <c r="B414">
        <v>4.2599999999999999E-2</v>
      </c>
      <c r="C414">
        <v>3.7699999999999997E-2</v>
      </c>
      <c r="D414">
        <v>-5.0000000000000001E-3</v>
      </c>
      <c r="E414">
        <v>1.6400000000000001E-2</v>
      </c>
      <c r="F414">
        <v>7.85E-2</v>
      </c>
      <c r="G414">
        <v>1.01E-2</v>
      </c>
      <c r="H414">
        <v>5.4699999999999999E-2</v>
      </c>
      <c r="P414">
        <f t="shared" si="28"/>
        <v>0.57999999999998064</v>
      </c>
      <c r="Q414">
        <f t="shared" si="29"/>
        <v>0.42000000000001936</v>
      </c>
      <c r="R414">
        <f t="shared" si="26"/>
        <v>1.5200622665381001E-2</v>
      </c>
      <c r="S414">
        <f t="shared" si="27"/>
        <v>1.6158995409396748E-3</v>
      </c>
    </row>
    <row r="415" spans="1:19" x14ac:dyDescent="0.15">
      <c r="A415" s="4">
        <v>35796</v>
      </c>
      <c r="B415">
        <v>-2.5399999999999999E-2</v>
      </c>
      <c r="C415">
        <v>5.7200000000000001E-2</v>
      </c>
      <c r="D415">
        <v>-3.8899999999999997E-2</v>
      </c>
      <c r="E415">
        <v>1.9900000000000001E-2</v>
      </c>
      <c r="F415">
        <v>-4.7100000000000003E-2</v>
      </c>
      <c r="G415">
        <v>1.8100000000000002E-2</v>
      </c>
      <c r="H415">
        <v>-1.6199999999999999E-2</v>
      </c>
      <c r="P415">
        <f t="shared" si="28"/>
        <v>0.58999999999998065</v>
      </c>
      <c r="Q415">
        <f t="shared" si="29"/>
        <v>0.41000000000001935</v>
      </c>
      <c r="R415">
        <f t="shared" si="26"/>
        <v>1.5122355394755468E-2</v>
      </c>
      <c r="S415">
        <f t="shared" si="27"/>
        <v>1.6025681499360457E-3</v>
      </c>
    </row>
    <row r="416" spans="1:19" x14ac:dyDescent="0.15">
      <c r="A416" s="4">
        <v>35827</v>
      </c>
      <c r="B416">
        <v>5.2299999999999999E-2</v>
      </c>
      <c r="C416">
        <v>5.7799999999999997E-2</v>
      </c>
      <c r="D416">
        <v>7.8399999999999997E-2</v>
      </c>
      <c r="E416">
        <v>0.1012</v>
      </c>
      <c r="F416">
        <v>3.04E-2</v>
      </c>
      <c r="G416">
        <v>9.6600000000000005E-2</v>
      </c>
      <c r="H416">
        <v>7.5200000000000003E-2</v>
      </c>
      <c r="P416">
        <f t="shared" si="28"/>
        <v>0.59999999999998066</v>
      </c>
      <c r="Q416">
        <f t="shared" si="29"/>
        <v>0.40000000000001934</v>
      </c>
      <c r="R416">
        <f t="shared" si="26"/>
        <v>1.504408812412994E-2</v>
      </c>
      <c r="S416">
        <f t="shared" si="27"/>
        <v>1.5895579972698534E-3</v>
      </c>
    </row>
    <row r="417" spans="1:19" x14ac:dyDescent="0.15">
      <c r="A417" s="4">
        <v>35855</v>
      </c>
      <c r="B417">
        <v>8.6699999999999999E-2</v>
      </c>
      <c r="C417">
        <v>4.6399999999999997E-2</v>
      </c>
      <c r="D417">
        <v>4.3200000000000002E-2</v>
      </c>
      <c r="E417">
        <v>1.26E-2</v>
      </c>
      <c r="F417">
        <v>7.9799999999999996E-2</v>
      </c>
      <c r="G417">
        <v>5.4199999999999998E-2</v>
      </c>
      <c r="H417">
        <v>5.8099999999999999E-2</v>
      </c>
      <c r="P417">
        <f t="shared" si="28"/>
        <v>0.60999999999998067</v>
      </c>
      <c r="Q417">
        <f t="shared" si="29"/>
        <v>0.39000000000001933</v>
      </c>
      <c r="R417">
        <f t="shared" si="26"/>
        <v>1.4965820853504407E-2</v>
      </c>
      <c r="S417">
        <f t="shared" si="27"/>
        <v>1.5768690829410978E-3</v>
      </c>
    </row>
    <row r="418" spans="1:19" x14ac:dyDescent="0.15">
      <c r="A418" s="4">
        <v>35886</v>
      </c>
      <c r="B418">
        <v>-2.0199999999999999E-2</v>
      </c>
      <c r="C418">
        <v>2.63E-2</v>
      </c>
      <c r="D418">
        <v>4.53E-2</v>
      </c>
      <c r="E418">
        <v>4.1099999999999998E-2</v>
      </c>
      <c r="F418">
        <v>-1.2E-2</v>
      </c>
      <c r="G418">
        <v>2.0899999999999998E-2</v>
      </c>
      <c r="H418">
        <v>1.32E-2</v>
      </c>
      <c r="P418">
        <f t="shared" si="28"/>
        <v>0.61999999999998068</v>
      </c>
      <c r="Q418">
        <f t="shared" si="29"/>
        <v>0.38000000000001932</v>
      </c>
      <c r="R418">
        <f t="shared" si="26"/>
        <v>1.4887553582878878E-2</v>
      </c>
      <c r="S418">
        <f t="shared" si="27"/>
        <v>1.5645014069497793E-3</v>
      </c>
    </row>
    <row r="419" spans="1:19" x14ac:dyDescent="0.15">
      <c r="A419" s="4">
        <v>35916</v>
      </c>
      <c r="B419">
        <v>2.2499999999999999E-2</v>
      </c>
      <c r="C419">
        <v>-8.2000000000000007E-3</v>
      </c>
      <c r="D419">
        <v>-2.3099999999999999E-2</v>
      </c>
      <c r="E419">
        <v>-5.2400000000000002E-2</v>
      </c>
      <c r="F419">
        <v>-1.6799999999999999E-2</v>
      </c>
      <c r="G419">
        <v>9.7000000000000003E-3</v>
      </c>
      <c r="H419">
        <v>-1.9900000000000001E-2</v>
      </c>
      <c r="P419">
        <f t="shared" si="28"/>
        <v>0.62999999999998069</v>
      </c>
      <c r="Q419">
        <f t="shared" si="29"/>
        <v>0.37000000000001931</v>
      </c>
      <c r="R419">
        <f t="shared" si="26"/>
        <v>1.4809286312253348E-2</v>
      </c>
      <c r="S419">
        <f t="shared" si="27"/>
        <v>1.5524549692958974E-3</v>
      </c>
    </row>
    <row r="420" spans="1:19" x14ac:dyDescent="0.15">
      <c r="A420" s="4">
        <v>35947</v>
      </c>
      <c r="B420">
        <v>3.3300000000000003E-2</v>
      </c>
      <c r="C420">
        <v>5.5500000000000001E-2</v>
      </c>
      <c r="D420">
        <v>8.0000000000000002E-3</v>
      </c>
      <c r="E420">
        <v>2.6700000000000002E-2</v>
      </c>
      <c r="F420">
        <v>2.7799999999999998E-2</v>
      </c>
      <c r="G420">
        <v>5.4600000000000003E-2</v>
      </c>
      <c r="H420">
        <v>3.1199999999999999E-2</v>
      </c>
      <c r="P420">
        <f t="shared" si="28"/>
        <v>0.6399999999999807</v>
      </c>
      <c r="Q420">
        <f t="shared" si="29"/>
        <v>0.3600000000000193</v>
      </c>
      <c r="R420">
        <f t="shared" si="26"/>
        <v>1.4731019041627817E-2</v>
      </c>
      <c r="S420">
        <f t="shared" si="27"/>
        <v>1.5407297699794524E-3</v>
      </c>
    </row>
    <row r="421" spans="1:19" x14ac:dyDescent="0.15">
      <c r="A421" s="4">
        <v>35977</v>
      </c>
      <c r="B421">
        <v>-5.9299999999999999E-2</v>
      </c>
      <c r="C421">
        <v>-1.72E-2</v>
      </c>
      <c r="D421">
        <v>-3.5499999999999997E-2</v>
      </c>
      <c r="E421">
        <v>5.0000000000000001E-4</v>
      </c>
      <c r="F421">
        <v>-3.85E-2</v>
      </c>
      <c r="G421">
        <v>-1.7600000000000001E-2</v>
      </c>
      <c r="H421">
        <v>-4.8999999999999998E-3</v>
      </c>
      <c r="P421">
        <f t="shared" si="28"/>
        <v>0.6499999999999807</v>
      </c>
      <c r="Q421">
        <f t="shared" si="29"/>
        <v>0.3500000000000193</v>
      </c>
      <c r="R421">
        <f t="shared" si="26"/>
        <v>1.4652751771002287E-2</v>
      </c>
      <c r="S421">
        <f t="shared" si="27"/>
        <v>1.5293258090004443E-3</v>
      </c>
    </row>
    <row r="422" spans="1:19" x14ac:dyDescent="0.15">
      <c r="A422" s="4">
        <v>36008</v>
      </c>
      <c r="B422">
        <v>-0.14199999999999999</v>
      </c>
      <c r="C422">
        <v>-0.10199999999999999</v>
      </c>
      <c r="D422">
        <v>-5.2400000000000002E-2</v>
      </c>
      <c r="E422">
        <v>-0.1368</v>
      </c>
      <c r="F422">
        <v>8.9999999999999998E-4</v>
      </c>
      <c r="G422">
        <v>-0.13059999999999999</v>
      </c>
      <c r="H422">
        <v>-0.1802</v>
      </c>
      <c r="P422">
        <f t="shared" si="28"/>
        <v>0.65999999999998071</v>
      </c>
      <c r="Q422">
        <f t="shared" si="29"/>
        <v>0.34000000000001929</v>
      </c>
      <c r="R422">
        <f t="shared" si="26"/>
        <v>1.4574484500376756E-2</v>
      </c>
      <c r="S422">
        <f t="shared" si="27"/>
        <v>1.518243086358873E-3</v>
      </c>
    </row>
    <row r="423" spans="1:19" x14ac:dyDescent="0.15">
      <c r="A423" s="4">
        <v>36039</v>
      </c>
      <c r="B423">
        <v>2.5999999999999999E-3</v>
      </c>
      <c r="C423">
        <v>9.4E-2</v>
      </c>
      <c r="D423">
        <v>0.11550000000000001</v>
      </c>
      <c r="E423">
        <v>9.6500000000000002E-2</v>
      </c>
      <c r="F423">
        <v>8.4000000000000005E-2</v>
      </c>
      <c r="G423">
        <v>7.2999999999999995E-2</v>
      </c>
      <c r="H423">
        <v>4.87E-2</v>
      </c>
      <c r="P423">
        <f t="shared" si="28"/>
        <v>0.66999999999998072</v>
      </c>
      <c r="Q423">
        <f t="shared" si="29"/>
        <v>0.33000000000001928</v>
      </c>
      <c r="R423">
        <f t="shared" si="26"/>
        <v>1.4496217229751225E-2</v>
      </c>
      <c r="S423">
        <f t="shared" si="27"/>
        <v>1.5074816020547387E-3</v>
      </c>
    </row>
    <row r="424" spans="1:19" x14ac:dyDescent="0.15">
      <c r="A424" s="4">
        <v>36069</v>
      </c>
      <c r="B424">
        <v>0.14330000000000001</v>
      </c>
      <c r="C424">
        <v>7.1099999999999997E-2</v>
      </c>
      <c r="D424">
        <v>6.1999999999999998E-3</v>
      </c>
      <c r="E424">
        <v>9.2499999999999999E-2</v>
      </c>
      <c r="F424">
        <v>-7.3000000000000001E-3</v>
      </c>
      <c r="G424">
        <v>8.2100000000000006E-2</v>
      </c>
      <c r="H424">
        <v>0.1022</v>
      </c>
      <c r="P424">
        <f t="shared" si="28"/>
        <v>0.67999999999998073</v>
      </c>
      <c r="Q424">
        <f t="shared" si="29"/>
        <v>0.32000000000001927</v>
      </c>
      <c r="R424">
        <f t="shared" si="26"/>
        <v>1.4417949959125695E-2</v>
      </c>
      <c r="S424">
        <f t="shared" si="27"/>
        <v>1.4970413560880407E-3</v>
      </c>
    </row>
    <row r="425" spans="1:19" x14ac:dyDescent="0.15">
      <c r="A425" s="4">
        <v>36100</v>
      </c>
      <c r="B425">
        <v>5.3100000000000001E-2</v>
      </c>
      <c r="C425">
        <v>5.7799999999999997E-2</v>
      </c>
      <c r="D425">
        <v>4.8500000000000001E-2</v>
      </c>
      <c r="E425">
        <v>4.58E-2</v>
      </c>
      <c r="F425">
        <v>9.4999999999999998E-3</v>
      </c>
      <c r="G425">
        <v>0.1022</v>
      </c>
      <c r="H425">
        <v>6.3E-2</v>
      </c>
      <c r="P425">
        <f t="shared" si="28"/>
        <v>0.68999999999998074</v>
      </c>
      <c r="Q425">
        <f t="shared" si="29"/>
        <v>0.31000000000001926</v>
      </c>
      <c r="R425">
        <f t="shared" si="26"/>
        <v>1.4339682688500164E-2</v>
      </c>
      <c r="S425">
        <f t="shared" si="27"/>
        <v>1.48692234845878E-3</v>
      </c>
    </row>
    <row r="426" spans="1:19" x14ac:dyDescent="0.15">
      <c r="A426" s="4">
        <v>36130</v>
      </c>
      <c r="B426">
        <v>-4.0000000000000002E-4</v>
      </c>
      <c r="C426">
        <v>4.41E-2</v>
      </c>
      <c r="D426">
        <v>-1.3599999999999999E-2</v>
      </c>
      <c r="E426">
        <v>7.7200000000000005E-2</v>
      </c>
      <c r="F426">
        <v>0.03</v>
      </c>
      <c r="G426">
        <v>0.12089999999999999</v>
      </c>
      <c r="H426">
        <v>3.5200000000000002E-2</v>
      </c>
      <c r="P426">
        <f t="shared" si="28"/>
        <v>0.69999999999998075</v>
      </c>
      <c r="Q426">
        <f t="shared" si="29"/>
        <v>0.30000000000001925</v>
      </c>
      <c r="R426">
        <f t="shared" si="26"/>
        <v>1.4261415417874637E-2</v>
      </c>
      <c r="S426">
        <f t="shared" si="27"/>
        <v>1.4771245791669564E-3</v>
      </c>
    </row>
    <row r="427" spans="1:19" x14ac:dyDescent="0.15">
      <c r="A427" s="4">
        <v>36161</v>
      </c>
      <c r="B427">
        <v>-1.7399999999999999E-2</v>
      </c>
      <c r="C427">
        <v>2E-3</v>
      </c>
      <c r="D427">
        <v>-5.79E-2</v>
      </c>
      <c r="E427">
        <v>5.16E-2</v>
      </c>
      <c r="F427">
        <v>-5.1499999999999997E-2</v>
      </c>
      <c r="G427">
        <v>3.6400000000000002E-2</v>
      </c>
      <c r="H427">
        <v>2.1000000000000001E-2</v>
      </c>
      <c r="P427">
        <f t="shared" si="28"/>
        <v>0.70999999999998076</v>
      </c>
      <c r="Q427">
        <f t="shared" si="29"/>
        <v>0.29000000000001924</v>
      </c>
      <c r="R427">
        <f t="shared" si="26"/>
        <v>1.4183148147249105E-2</v>
      </c>
      <c r="S427">
        <f t="shared" si="27"/>
        <v>1.4676480482125691E-3</v>
      </c>
    </row>
    <row r="428" spans="1:19" x14ac:dyDescent="0.15">
      <c r="A428" s="4">
        <v>36192</v>
      </c>
      <c r="B428">
        <v>-2.4799999999999999E-2</v>
      </c>
      <c r="C428">
        <v>1.77E-2</v>
      </c>
      <c r="D428">
        <v>-1.7999999999999999E-2</v>
      </c>
      <c r="E428">
        <v>-4.8899999999999999E-2</v>
      </c>
      <c r="F428">
        <v>-3.7699999999999997E-2</v>
      </c>
      <c r="G428">
        <v>-1.89E-2</v>
      </c>
      <c r="H428">
        <v>1.8E-3</v>
      </c>
      <c r="P428">
        <f t="shared" si="28"/>
        <v>0.71999999999998077</v>
      </c>
      <c r="Q428">
        <f t="shared" si="29"/>
        <v>0.28000000000001923</v>
      </c>
      <c r="R428">
        <f t="shared" si="26"/>
        <v>1.4104880876623576E-2</v>
      </c>
      <c r="S428">
        <f t="shared" si="27"/>
        <v>1.4584927555956187E-3</v>
      </c>
    </row>
    <row r="429" spans="1:19" x14ac:dyDescent="0.15">
      <c r="A429" s="4">
        <v>36220</v>
      </c>
      <c r="B429">
        <v>-2.1999999999999999E-2</v>
      </c>
      <c r="C429">
        <v>4.4400000000000002E-2</v>
      </c>
      <c r="D429">
        <v>0.13800000000000001</v>
      </c>
      <c r="E429">
        <v>1.4E-2</v>
      </c>
      <c r="F429">
        <v>-1.35E-2</v>
      </c>
      <c r="G429">
        <v>2.2499999999999999E-2</v>
      </c>
      <c r="H429">
        <v>2.7099999999999999E-2</v>
      </c>
      <c r="P429">
        <f t="shared" si="28"/>
        <v>0.72999999999998078</v>
      </c>
      <c r="Q429">
        <f t="shared" si="29"/>
        <v>0.27000000000001922</v>
      </c>
      <c r="R429">
        <f t="shared" si="26"/>
        <v>1.4026613605998044E-2</v>
      </c>
      <c r="S429">
        <f t="shared" si="27"/>
        <v>1.4496587013161052E-3</v>
      </c>
    </row>
    <row r="430" spans="1:19" x14ac:dyDescent="0.15">
      <c r="A430" s="4">
        <v>36251</v>
      </c>
      <c r="B430">
        <v>4.65E-2</v>
      </c>
      <c r="C430">
        <v>1.83E-2</v>
      </c>
      <c r="D430">
        <v>0.15079999999999999</v>
      </c>
      <c r="E430">
        <v>9.8699999999999996E-2</v>
      </c>
      <c r="F430">
        <v>0.1056</v>
      </c>
      <c r="G430">
        <v>2.0500000000000001E-2</v>
      </c>
      <c r="H430">
        <v>8.1699999999999995E-2</v>
      </c>
      <c r="P430">
        <f t="shared" si="28"/>
        <v>0.73999999999998078</v>
      </c>
      <c r="Q430">
        <f t="shared" si="29"/>
        <v>0.26000000000001922</v>
      </c>
      <c r="R430">
        <f t="shared" si="26"/>
        <v>1.3948346335372515E-2</v>
      </c>
      <c r="S430">
        <f t="shared" si="27"/>
        <v>1.4411458853740284E-3</v>
      </c>
    </row>
    <row r="431" spans="1:19" x14ac:dyDescent="0.15">
      <c r="A431" s="4">
        <v>36281</v>
      </c>
      <c r="B431">
        <v>1.41E-2</v>
      </c>
      <c r="C431">
        <v>-2.5100000000000001E-2</v>
      </c>
      <c r="D431">
        <v>-2.4199999999999999E-2</v>
      </c>
      <c r="E431">
        <v>1.7299999999999999E-2</v>
      </c>
      <c r="F431">
        <v>5.57E-2</v>
      </c>
      <c r="G431">
        <v>1.49E-2</v>
      </c>
      <c r="H431">
        <v>-2.2700000000000001E-2</v>
      </c>
      <c r="P431">
        <f t="shared" si="28"/>
        <v>0.74999999999998079</v>
      </c>
      <c r="Q431">
        <f t="shared" si="29"/>
        <v>0.25000000000001921</v>
      </c>
      <c r="R431">
        <f t="shared" si="26"/>
        <v>1.3870079064746983E-2</v>
      </c>
      <c r="S431">
        <f t="shared" si="27"/>
        <v>1.4329543077693887E-3</v>
      </c>
    </row>
    <row r="432" spans="1:19" x14ac:dyDescent="0.15">
      <c r="A432" s="4">
        <v>36312</v>
      </c>
      <c r="B432">
        <v>-9.7000000000000003E-3</v>
      </c>
      <c r="C432">
        <v>4.24E-2</v>
      </c>
      <c r="D432">
        <v>-1.12E-2</v>
      </c>
      <c r="E432">
        <v>6.7900000000000002E-2</v>
      </c>
      <c r="F432">
        <v>-1.14E-2</v>
      </c>
      <c r="G432">
        <v>7.4700000000000003E-2</v>
      </c>
      <c r="H432">
        <v>3.8199999999999998E-2</v>
      </c>
      <c r="P432">
        <f t="shared" si="28"/>
        <v>0.7599999999999808</v>
      </c>
      <c r="Q432">
        <f t="shared" si="29"/>
        <v>0.2400000000000192</v>
      </c>
      <c r="R432">
        <f t="shared" si="26"/>
        <v>1.3791811794121454E-2</v>
      </c>
      <c r="S432">
        <f t="shared" si="27"/>
        <v>1.4250839685021857E-3</v>
      </c>
    </row>
    <row r="433" spans="1:19" x14ac:dyDescent="0.15">
      <c r="A433" s="4">
        <v>36342</v>
      </c>
      <c r="B433">
        <v>-1.37E-2</v>
      </c>
      <c r="C433">
        <v>-3.1699999999999999E-2</v>
      </c>
      <c r="D433">
        <v>2.5899999999999999E-2</v>
      </c>
      <c r="E433">
        <v>-1.18E-2</v>
      </c>
      <c r="F433">
        <v>-2.3900000000000001E-2</v>
      </c>
      <c r="G433">
        <v>-1.14E-2</v>
      </c>
      <c r="H433">
        <v>-4.1599999999999998E-2</v>
      </c>
      <c r="P433">
        <f t="shared" si="28"/>
        <v>0.76999999999998081</v>
      </c>
      <c r="Q433">
        <f t="shared" si="29"/>
        <v>0.23000000000001919</v>
      </c>
      <c r="R433">
        <f t="shared" si="26"/>
        <v>1.3713544523495921E-2</v>
      </c>
      <c r="S433">
        <f t="shared" si="27"/>
        <v>1.4175348675724195E-3</v>
      </c>
    </row>
    <row r="434" spans="1:19" x14ac:dyDescent="0.15">
      <c r="A434" s="4">
        <v>36373</v>
      </c>
      <c r="B434">
        <v>-2.3E-2</v>
      </c>
      <c r="C434">
        <v>3.9399999999999998E-2</v>
      </c>
      <c r="D434">
        <v>1.9E-3</v>
      </c>
      <c r="E434">
        <v>8.9999999999999993E-3</v>
      </c>
      <c r="F434">
        <v>2.9999999999999997E-4</v>
      </c>
      <c r="G434">
        <v>-7.2900000000000006E-2</v>
      </c>
      <c r="H434">
        <v>-4.2099999999999999E-2</v>
      </c>
      <c r="P434">
        <f t="shared" si="28"/>
        <v>0.77999999999998082</v>
      </c>
      <c r="Q434">
        <f t="shared" si="29"/>
        <v>0.22000000000001918</v>
      </c>
      <c r="R434">
        <f t="shared" si="26"/>
        <v>1.3635277252870392E-2</v>
      </c>
      <c r="S434">
        <f t="shared" si="27"/>
        <v>1.4103070049800903E-3</v>
      </c>
    </row>
    <row r="435" spans="1:19" x14ac:dyDescent="0.15">
      <c r="A435" s="4">
        <v>36404</v>
      </c>
      <c r="B435">
        <v>-9.3299999999999994E-2</v>
      </c>
      <c r="C435">
        <v>-6.6799999999999998E-2</v>
      </c>
      <c r="D435">
        <v>-2.64E-2</v>
      </c>
      <c r="E435">
        <v>-4.8300000000000003E-2</v>
      </c>
      <c r="F435">
        <v>-4.5100000000000001E-2</v>
      </c>
      <c r="G435">
        <v>-2.3999999999999998E-3</v>
      </c>
      <c r="H435">
        <v>-3.2399999999999998E-2</v>
      </c>
      <c r="P435">
        <f t="shared" si="28"/>
        <v>0.78999999999998083</v>
      </c>
      <c r="Q435">
        <f t="shared" si="29"/>
        <v>0.21000000000001917</v>
      </c>
      <c r="R435">
        <f t="shared" si="26"/>
        <v>1.3557009982244862E-2</v>
      </c>
      <c r="S435">
        <f t="shared" si="27"/>
        <v>1.4034003807251976E-3</v>
      </c>
    </row>
    <row r="436" spans="1:19" x14ac:dyDescent="0.15">
      <c r="A436" s="4">
        <v>36434</v>
      </c>
      <c r="B436">
        <v>7.5800000000000006E-2</v>
      </c>
      <c r="C436">
        <v>0.12559999999999999</v>
      </c>
      <c r="D436">
        <v>-7.1999999999999998E-3</v>
      </c>
      <c r="E436">
        <v>-5.4100000000000002E-2</v>
      </c>
      <c r="F436">
        <v>1.37E-2</v>
      </c>
      <c r="G436">
        <v>-9.4000000000000004E-3</v>
      </c>
      <c r="H436">
        <v>0.1133</v>
      </c>
      <c r="P436">
        <f t="shared" si="28"/>
        <v>0.79999999999998084</v>
      </c>
      <c r="Q436">
        <f t="shared" si="29"/>
        <v>0.20000000000001916</v>
      </c>
      <c r="R436">
        <f t="shared" si="26"/>
        <v>1.3478742711619333E-2</v>
      </c>
      <c r="S436">
        <f t="shared" si="27"/>
        <v>1.3968149948077422E-3</v>
      </c>
    </row>
    <row r="437" spans="1:19" x14ac:dyDescent="0.15">
      <c r="A437" s="4">
        <v>36465</v>
      </c>
      <c r="B437">
        <v>2.1399999999999999E-2</v>
      </c>
      <c r="C437">
        <v>1.29E-2</v>
      </c>
      <c r="D437">
        <v>5.33E-2</v>
      </c>
      <c r="E437">
        <v>5.1499999999999997E-2</v>
      </c>
      <c r="F437">
        <v>-6.8400000000000002E-2</v>
      </c>
      <c r="G437">
        <v>5.0700000000000002E-2</v>
      </c>
      <c r="H437">
        <v>-3.4500000000000003E-2</v>
      </c>
      <c r="P437">
        <f t="shared" si="28"/>
        <v>0.80999999999998085</v>
      </c>
      <c r="Q437">
        <f t="shared" si="29"/>
        <v>0.19000000000001915</v>
      </c>
      <c r="R437">
        <f t="shared" si="26"/>
        <v>1.3400475440993802E-2</v>
      </c>
      <c r="S437">
        <f t="shared" si="27"/>
        <v>1.3905508472277233E-3</v>
      </c>
    </row>
    <row r="438" spans="1:19" x14ac:dyDescent="0.15">
      <c r="A438" s="4">
        <v>36495</v>
      </c>
      <c r="B438">
        <v>-7.0499999999999993E-2</v>
      </c>
      <c r="C438">
        <v>-2.9000000000000001E-2</v>
      </c>
      <c r="D438">
        <v>-7.0000000000000001E-3</v>
      </c>
      <c r="E438">
        <v>3.7999999999999999E-2</v>
      </c>
      <c r="F438">
        <v>-2.2000000000000001E-3</v>
      </c>
      <c r="G438">
        <v>6.5100000000000005E-2</v>
      </c>
      <c r="H438">
        <v>-1.6500000000000001E-2</v>
      </c>
      <c r="P438">
        <f t="shared" si="28"/>
        <v>0.81999999999998086</v>
      </c>
      <c r="Q438">
        <f t="shared" si="29"/>
        <v>0.18000000000001914</v>
      </c>
      <c r="R438">
        <f t="shared" si="26"/>
        <v>1.3322208170368272E-2</v>
      </c>
      <c r="S438">
        <f t="shared" si="27"/>
        <v>1.3846079379851411E-3</v>
      </c>
    </row>
    <row r="439" spans="1:19" x14ac:dyDescent="0.15">
      <c r="P439">
        <f t="shared" si="28"/>
        <v>0.82999999999998086</v>
      </c>
      <c r="Q439">
        <f t="shared" si="29"/>
        <v>0.17000000000001914</v>
      </c>
      <c r="R439">
        <f t="shared" si="26"/>
        <v>1.3243940899742741E-2</v>
      </c>
      <c r="S439">
        <f t="shared" si="27"/>
        <v>1.3789862670799962E-3</v>
      </c>
    </row>
    <row r="440" spans="1:19" x14ac:dyDescent="0.15">
      <c r="B440" s="2"/>
      <c r="C440" s="2"/>
      <c r="D440" s="2"/>
      <c r="E440" s="2"/>
      <c r="F440" s="2"/>
      <c r="G440" s="2"/>
      <c r="H440" s="2"/>
      <c r="P440">
        <f t="shared" si="28"/>
        <v>0.83999999999998087</v>
      </c>
      <c r="Q440">
        <f t="shared" si="29"/>
        <v>0.16000000000001913</v>
      </c>
      <c r="R440">
        <f t="shared" si="26"/>
        <v>1.3165673629117211E-2</v>
      </c>
      <c r="S440">
        <f t="shared" si="27"/>
        <v>1.3736858345122878E-3</v>
      </c>
    </row>
    <row r="441" spans="1:19" x14ac:dyDescent="0.15">
      <c r="B441" s="2"/>
      <c r="C441" s="2"/>
      <c r="D441" s="2"/>
      <c r="E441" s="2"/>
      <c r="F441" s="2"/>
      <c r="G441" s="2"/>
      <c r="H441" s="2"/>
      <c r="P441">
        <f t="shared" si="28"/>
        <v>0.84999999999998088</v>
      </c>
      <c r="Q441">
        <f t="shared" si="29"/>
        <v>0.15000000000001912</v>
      </c>
      <c r="R441">
        <f t="shared" ref="R441:R504" si="30">P441*$L$55+Q441*$N$55</f>
        <v>1.308740635849168E-2</v>
      </c>
      <c r="S441">
        <f t="shared" ref="S441:S504" si="31">P441^2*$L$56+Q441^2*$N$56+2*P441*Q441*$L$60</f>
        <v>1.3687066402820163E-3</v>
      </c>
    </row>
    <row r="442" spans="1:19" x14ac:dyDescent="0.15">
      <c r="A442" s="1"/>
      <c r="B442" s="5"/>
      <c r="P442">
        <f t="shared" ref="P442:P505" si="32">P441+0.01</f>
        <v>0.85999999999998089</v>
      </c>
      <c r="Q442">
        <f t="shared" ref="Q442:Q505" si="33">1-P442</f>
        <v>0.14000000000001911</v>
      </c>
      <c r="R442">
        <f t="shared" si="30"/>
        <v>1.300913908786615E-2</v>
      </c>
      <c r="S442">
        <f t="shared" si="31"/>
        <v>1.3640486843891817E-3</v>
      </c>
    </row>
    <row r="443" spans="1:19" x14ac:dyDescent="0.15">
      <c r="P443">
        <f t="shared" si="32"/>
        <v>0.8699999999999809</v>
      </c>
      <c r="Q443">
        <f t="shared" si="33"/>
        <v>0.1300000000000191</v>
      </c>
      <c r="R443">
        <f t="shared" si="30"/>
        <v>1.2930871817240619E-2</v>
      </c>
      <c r="S443">
        <f t="shared" si="31"/>
        <v>1.3597119668337838E-3</v>
      </c>
    </row>
    <row r="444" spans="1:19" x14ac:dyDescent="0.15">
      <c r="P444">
        <f t="shared" si="32"/>
        <v>0.87999999999998091</v>
      </c>
      <c r="Q444">
        <f t="shared" si="33"/>
        <v>0.12000000000001909</v>
      </c>
      <c r="R444">
        <f t="shared" si="30"/>
        <v>1.2852604546615088E-2</v>
      </c>
      <c r="S444">
        <f t="shared" si="31"/>
        <v>1.3556964876158229E-3</v>
      </c>
    </row>
    <row r="445" spans="1:19" x14ac:dyDescent="0.15">
      <c r="P445">
        <f t="shared" si="32"/>
        <v>0.88999999999998092</v>
      </c>
      <c r="Q445">
        <f t="shared" si="33"/>
        <v>0.11000000000001908</v>
      </c>
      <c r="R445">
        <f t="shared" si="30"/>
        <v>1.2774337275989561E-2</v>
      </c>
      <c r="S445">
        <f t="shared" si="31"/>
        <v>1.3520022467352986E-3</v>
      </c>
    </row>
    <row r="446" spans="1:19" x14ac:dyDescent="0.15">
      <c r="P446">
        <f t="shared" si="32"/>
        <v>0.89999999999998093</v>
      </c>
      <c r="Q446">
        <f t="shared" si="33"/>
        <v>0.10000000000001907</v>
      </c>
      <c r="R446">
        <f t="shared" si="30"/>
        <v>1.2696070005364029E-2</v>
      </c>
      <c r="S446">
        <f t="shared" si="31"/>
        <v>1.3486292441922112E-3</v>
      </c>
    </row>
    <row r="447" spans="1:19" x14ac:dyDescent="0.15">
      <c r="P447">
        <f t="shared" si="32"/>
        <v>0.90999999999998094</v>
      </c>
      <c r="Q447">
        <f t="shared" si="33"/>
        <v>9.0000000000019065E-2</v>
      </c>
      <c r="R447">
        <f t="shared" si="30"/>
        <v>1.26178027347385E-2</v>
      </c>
      <c r="S447">
        <f t="shared" si="31"/>
        <v>1.3455774799865606E-3</v>
      </c>
    </row>
    <row r="448" spans="1:19" x14ac:dyDescent="0.15">
      <c r="P448">
        <f t="shared" si="32"/>
        <v>0.91999999999998094</v>
      </c>
      <c r="Q448">
        <f t="shared" si="33"/>
        <v>8.0000000000019056E-2</v>
      </c>
      <c r="R448">
        <f t="shared" si="30"/>
        <v>1.253953546411297E-2</v>
      </c>
      <c r="S448">
        <f t="shared" si="31"/>
        <v>1.3428469541183468E-3</v>
      </c>
    </row>
    <row r="449" spans="16:19" x14ac:dyDescent="0.15">
      <c r="P449">
        <f t="shared" si="32"/>
        <v>0.92999999999998095</v>
      </c>
      <c r="Q449">
        <f t="shared" si="33"/>
        <v>7.0000000000019047E-2</v>
      </c>
      <c r="R449">
        <f t="shared" si="30"/>
        <v>1.2461268193487439E-2</v>
      </c>
      <c r="S449">
        <f t="shared" si="31"/>
        <v>1.3404376665875702E-3</v>
      </c>
    </row>
    <row r="450" spans="16:19" x14ac:dyDescent="0.15">
      <c r="P450">
        <f t="shared" si="32"/>
        <v>0.93999999999998096</v>
      </c>
      <c r="Q450">
        <f t="shared" si="33"/>
        <v>6.0000000000019038E-2</v>
      </c>
      <c r="R450">
        <f t="shared" si="30"/>
        <v>1.2383000922861908E-2</v>
      </c>
      <c r="S450">
        <f t="shared" si="31"/>
        <v>1.3383496173942301E-3</v>
      </c>
    </row>
    <row r="451" spans="16:19" x14ac:dyDescent="0.15">
      <c r="P451">
        <f t="shared" si="32"/>
        <v>0.94999999999998097</v>
      </c>
      <c r="Q451">
        <f t="shared" si="33"/>
        <v>5.0000000000019029E-2</v>
      </c>
      <c r="R451">
        <f t="shared" si="30"/>
        <v>1.2304733652236378E-2</v>
      </c>
      <c r="S451">
        <f t="shared" si="31"/>
        <v>1.336582806538327E-3</v>
      </c>
    </row>
    <row r="452" spans="16:19" x14ac:dyDescent="0.15">
      <c r="P452">
        <f t="shared" si="32"/>
        <v>0.95999999999998098</v>
      </c>
      <c r="Q452">
        <f t="shared" si="33"/>
        <v>4.000000000001902E-2</v>
      </c>
      <c r="R452">
        <f t="shared" si="30"/>
        <v>1.2226466381610847E-2</v>
      </c>
      <c r="S452">
        <f t="shared" si="31"/>
        <v>1.3351372340198605E-3</v>
      </c>
    </row>
    <row r="453" spans="16:19" x14ac:dyDescent="0.15">
      <c r="P453">
        <f t="shared" si="32"/>
        <v>0.96999999999998099</v>
      </c>
      <c r="Q453">
        <f t="shared" si="33"/>
        <v>3.0000000000019011E-2</v>
      </c>
      <c r="R453">
        <f t="shared" si="30"/>
        <v>1.2148199110985317E-2</v>
      </c>
      <c r="S453">
        <f t="shared" si="31"/>
        <v>1.3340128998388311E-3</v>
      </c>
    </row>
    <row r="454" spans="16:19" x14ac:dyDescent="0.15">
      <c r="P454">
        <f t="shared" si="32"/>
        <v>0.979999999999981</v>
      </c>
      <c r="Q454">
        <f t="shared" si="33"/>
        <v>2.0000000000019003E-2</v>
      </c>
      <c r="R454">
        <f t="shared" si="30"/>
        <v>1.2069931840359786E-2</v>
      </c>
      <c r="S454">
        <f t="shared" si="31"/>
        <v>1.3332098039952384E-3</v>
      </c>
    </row>
    <row r="455" spans="16:19" x14ac:dyDescent="0.15">
      <c r="P455">
        <f t="shared" si="32"/>
        <v>0.98999999999998101</v>
      </c>
      <c r="Q455">
        <f t="shared" si="33"/>
        <v>1.0000000000018994E-2</v>
      </c>
      <c r="R455">
        <f t="shared" si="30"/>
        <v>1.1991664569734257E-2</v>
      </c>
      <c r="S455">
        <f t="shared" si="31"/>
        <v>1.3327279464890826E-3</v>
      </c>
    </row>
    <row r="456" spans="16:19" x14ac:dyDescent="0.15">
      <c r="P456">
        <f t="shared" si="32"/>
        <v>0.99999999999998102</v>
      </c>
      <c r="Q456">
        <f t="shared" si="33"/>
        <v>1.8984813721090177E-14</v>
      </c>
      <c r="R456">
        <f t="shared" si="30"/>
        <v>1.1913397299108727E-2</v>
      </c>
      <c r="S456">
        <f t="shared" si="31"/>
        <v>1.3325673273203635E-3</v>
      </c>
    </row>
    <row r="457" spans="16:19" x14ac:dyDescent="0.15">
      <c r="P457">
        <f t="shared" si="32"/>
        <v>1.0099999999999809</v>
      </c>
      <c r="Q457">
        <f t="shared" si="33"/>
        <v>-9.999999999980913E-3</v>
      </c>
      <c r="R457">
        <f t="shared" si="30"/>
        <v>1.1835130028483196E-2</v>
      </c>
      <c r="S457">
        <f t="shared" si="31"/>
        <v>1.3327279464890815E-3</v>
      </c>
    </row>
    <row r="458" spans="16:19" x14ac:dyDescent="0.15">
      <c r="P458">
        <f t="shared" si="32"/>
        <v>1.0199999999999809</v>
      </c>
      <c r="Q458">
        <f t="shared" si="33"/>
        <v>-1.9999999999980922E-2</v>
      </c>
      <c r="R458">
        <f t="shared" si="30"/>
        <v>1.1756862757857665E-2</v>
      </c>
      <c r="S458">
        <f t="shared" si="31"/>
        <v>1.3332098039952362E-3</v>
      </c>
    </row>
    <row r="459" spans="16:19" x14ac:dyDescent="0.15">
      <c r="P459">
        <f t="shared" si="32"/>
        <v>1.0299999999999809</v>
      </c>
      <c r="Q459">
        <f t="shared" si="33"/>
        <v>-2.9999999999980931E-2</v>
      </c>
      <c r="R459">
        <f t="shared" si="30"/>
        <v>1.1678595487232137E-2</v>
      </c>
      <c r="S459">
        <f t="shared" si="31"/>
        <v>1.3340128998388272E-3</v>
      </c>
    </row>
    <row r="460" spans="16:19" x14ac:dyDescent="0.15">
      <c r="P460">
        <f t="shared" si="32"/>
        <v>1.0399999999999809</v>
      </c>
      <c r="Q460">
        <f t="shared" si="33"/>
        <v>-3.999999999998094E-2</v>
      </c>
      <c r="R460">
        <f t="shared" si="30"/>
        <v>1.1600328216606606E-2</v>
      </c>
      <c r="S460">
        <f t="shared" si="31"/>
        <v>1.3351372340198557E-3</v>
      </c>
    </row>
    <row r="461" spans="16:19" x14ac:dyDescent="0.15">
      <c r="P461">
        <f t="shared" si="32"/>
        <v>1.0499999999999809</v>
      </c>
      <c r="Q461">
        <f t="shared" si="33"/>
        <v>-4.9999999999980949E-2</v>
      </c>
      <c r="R461">
        <f t="shared" si="30"/>
        <v>1.1522060945981075E-2</v>
      </c>
      <c r="S461">
        <f t="shared" si="31"/>
        <v>1.3365828065383209E-3</v>
      </c>
    </row>
    <row r="462" spans="16:19" x14ac:dyDescent="0.15">
      <c r="P462">
        <f t="shared" si="32"/>
        <v>1.059999999999981</v>
      </c>
      <c r="Q462">
        <f t="shared" si="33"/>
        <v>-5.9999999999980957E-2</v>
      </c>
      <c r="R462">
        <f t="shared" si="30"/>
        <v>1.1443793675355545E-2</v>
      </c>
      <c r="S462">
        <f t="shared" si="31"/>
        <v>1.3383496173942227E-3</v>
      </c>
    </row>
    <row r="463" spans="16:19" x14ac:dyDescent="0.15">
      <c r="P463">
        <f t="shared" si="32"/>
        <v>1.069999999999981</v>
      </c>
      <c r="Q463">
        <f t="shared" si="33"/>
        <v>-6.9999999999980966E-2</v>
      </c>
      <c r="R463">
        <f t="shared" si="30"/>
        <v>1.1365526404730016E-2</v>
      </c>
      <c r="S463">
        <f t="shared" si="31"/>
        <v>1.3404376665875615E-3</v>
      </c>
    </row>
    <row r="464" spans="16:19" x14ac:dyDescent="0.15">
      <c r="P464">
        <f t="shared" si="32"/>
        <v>1.079999999999981</v>
      </c>
      <c r="Q464">
        <f t="shared" si="33"/>
        <v>-7.9999999999980975E-2</v>
      </c>
      <c r="R464">
        <f t="shared" si="30"/>
        <v>1.1287259134104485E-2</v>
      </c>
      <c r="S464">
        <f t="shared" si="31"/>
        <v>1.3428469541183373E-3</v>
      </c>
    </row>
    <row r="465" spans="16:19" x14ac:dyDescent="0.15">
      <c r="P465">
        <f t="shared" si="32"/>
        <v>1.089999999999981</v>
      </c>
      <c r="Q465">
        <f t="shared" si="33"/>
        <v>-8.9999999999980984E-2</v>
      </c>
      <c r="R465">
        <f t="shared" si="30"/>
        <v>1.1208991863478955E-2</v>
      </c>
      <c r="S465">
        <f t="shared" si="31"/>
        <v>1.3455774799865498E-3</v>
      </c>
    </row>
    <row r="466" spans="16:19" x14ac:dyDescent="0.15">
      <c r="P466">
        <f t="shared" si="32"/>
        <v>1.099999999999981</v>
      </c>
      <c r="Q466">
        <f t="shared" si="33"/>
        <v>-9.9999999999980993E-2</v>
      </c>
      <c r="R466">
        <f t="shared" si="30"/>
        <v>1.1130724592853424E-2</v>
      </c>
      <c r="S466">
        <f t="shared" si="31"/>
        <v>1.3486292441921991E-3</v>
      </c>
    </row>
    <row r="467" spans="16:19" x14ac:dyDescent="0.15">
      <c r="P467">
        <f t="shared" si="32"/>
        <v>1.109999999999981</v>
      </c>
      <c r="Q467">
        <f t="shared" si="33"/>
        <v>-0.109999999999981</v>
      </c>
      <c r="R467">
        <f t="shared" si="30"/>
        <v>1.1052457322227894E-2</v>
      </c>
      <c r="S467">
        <f t="shared" si="31"/>
        <v>1.3520022467352851E-3</v>
      </c>
    </row>
    <row r="468" spans="16:19" x14ac:dyDescent="0.15">
      <c r="P468">
        <f t="shared" si="32"/>
        <v>1.119999999999981</v>
      </c>
      <c r="Q468">
        <f t="shared" si="33"/>
        <v>-0.11999999999998101</v>
      </c>
      <c r="R468">
        <f t="shared" si="30"/>
        <v>1.0974190051602363E-2</v>
      </c>
      <c r="S468">
        <f t="shared" si="31"/>
        <v>1.3556964876158084E-3</v>
      </c>
    </row>
    <row r="469" spans="16:19" x14ac:dyDescent="0.15">
      <c r="P469">
        <f t="shared" si="32"/>
        <v>1.129999999999981</v>
      </c>
      <c r="Q469">
        <f t="shared" si="33"/>
        <v>-0.12999999999998102</v>
      </c>
      <c r="R469">
        <f t="shared" si="30"/>
        <v>1.0895922780976832E-2</v>
      </c>
      <c r="S469">
        <f t="shared" si="31"/>
        <v>1.359711966833768E-3</v>
      </c>
    </row>
    <row r="470" spans="16:19" x14ac:dyDescent="0.15">
      <c r="P470">
        <f t="shared" si="32"/>
        <v>1.139999999999981</v>
      </c>
      <c r="Q470">
        <f t="shared" si="33"/>
        <v>-0.13999999999998103</v>
      </c>
      <c r="R470">
        <f t="shared" si="30"/>
        <v>1.0817655510351302E-2</v>
      </c>
      <c r="S470">
        <f t="shared" si="31"/>
        <v>1.3640486843891648E-3</v>
      </c>
    </row>
    <row r="471" spans="16:19" x14ac:dyDescent="0.15">
      <c r="P471">
        <f t="shared" si="32"/>
        <v>1.149999999999981</v>
      </c>
      <c r="Q471">
        <f t="shared" si="33"/>
        <v>-0.14999999999998104</v>
      </c>
      <c r="R471">
        <f t="shared" si="30"/>
        <v>1.0739388239725771E-2</v>
      </c>
      <c r="S471">
        <f t="shared" si="31"/>
        <v>1.3687066402819981E-3</v>
      </c>
    </row>
    <row r="472" spans="16:19" x14ac:dyDescent="0.15">
      <c r="P472">
        <f t="shared" si="32"/>
        <v>1.159999999999981</v>
      </c>
      <c r="Q472">
        <f t="shared" si="33"/>
        <v>-0.15999999999998105</v>
      </c>
      <c r="R472">
        <f t="shared" si="30"/>
        <v>1.0661120969100241E-2</v>
      </c>
      <c r="S472">
        <f t="shared" si="31"/>
        <v>1.373685834512268E-3</v>
      </c>
    </row>
    <row r="473" spans="16:19" x14ac:dyDescent="0.15">
      <c r="P473">
        <f t="shared" si="32"/>
        <v>1.1699999999999811</v>
      </c>
      <c r="Q473">
        <f t="shared" si="33"/>
        <v>-0.16999999999998106</v>
      </c>
      <c r="R473">
        <f t="shared" si="30"/>
        <v>1.0582853698474712E-2</v>
      </c>
      <c r="S473">
        <f t="shared" si="31"/>
        <v>1.3789862670799753E-3</v>
      </c>
    </row>
    <row r="474" spans="16:19" x14ac:dyDescent="0.15">
      <c r="P474">
        <f t="shared" si="32"/>
        <v>1.1799999999999811</v>
      </c>
      <c r="Q474">
        <f t="shared" si="33"/>
        <v>-0.17999999999998106</v>
      </c>
      <c r="R474">
        <f t="shared" si="30"/>
        <v>1.0504586427849181E-2</v>
      </c>
      <c r="S474">
        <f t="shared" si="31"/>
        <v>1.3846079379851192E-3</v>
      </c>
    </row>
    <row r="475" spans="16:19" x14ac:dyDescent="0.15">
      <c r="P475">
        <f t="shared" si="32"/>
        <v>1.1899999999999811</v>
      </c>
      <c r="Q475">
        <f t="shared" si="33"/>
        <v>-0.18999999999998107</v>
      </c>
      <c r="R475">
        <f t="shared" si="30"/>
        <v>1.0426319157223651E-2</v>
      </c>
      <c r="S475">
        <f t="shared" si="31"/>
        <v>1.3905508472277003E-3</v>
      </c>
    </row>
    <row r="476" spans="16:19" x14ac:dyDescent="0.15">
      <c r="P476">
        <f t="shared" si="32"/>
        <v>1.1999999999999811</v>
      </c>
      <c r="Q476">
        <f t="shared" si="33"/>
        <v>-0.19999999999998108</v>
      </c>
      <c r="R476">
        <f t="shared" si="30"/>
        <v>1.0348051886598122E-2</v>
      </c>
      <c r="S476">
        <f t="shared" si="31"/>
        <v>1.3968149948077179E-3</v>
      </c>
    </row>
    <row r="477" spans="16:19" x14ac:dyDescent="0.15">
      <c r="P477">
        <f t="shared" si="32"/>
        <v>1.2099999999999811</v>
      </c>
      <c r="Q477">
        <f t="shared" si="33"/>
        <v>-0.20999999999998109</v>
      </c>
      <c r="R477">
        <f t="shared" si="30"/>
        <v>1.0269784615972589E-2</v>
      </c>
      <c r="S477">
        <f t="shared" si="31"/>
        <v>1.4034003807251721E-3</v>
      </c>
    </row>
    <row r="478" spans="16:19" x14ac:dyDescent="0.15">
      <c r="P478">
        <f t="shared" si="32"/>
        <v>1.2199999999999811</v>
      </c>
      <c r="Q478">
        <f t="shared" si="33"/>
        <v>-0.2199999999999811</v>
      </c>
      <c r="R478">
        <f t="shared" si="30"/>
        <v>1.0191517345347061E-2</v>
      </c>
      <c r="S478">
        <f t="shared" si="31"/>
        <v>1.4103070049800636E-3</v>
      </c>
    </row>
    <row r="479" spans="16:19" x14ac:dyDescent="0.15">
      <c r="P479">
        <f t="shared" si="32"/>
        <v>1.2299999999999811</v>
      </c>
      <c r="Q479">
        <f t="shared" si="33"/>
        <v>-0.22999999999998111</v>
      </c>
      <c r="R479">
        <f t="shared" si="30"/>
        <v>1.0113250074721528E-2</v>
      </c>
      <c r="S479">
        <f t="shared" si="31"/>
        <v>1.4175348675723918E-3</v>
      </c>
    </row>
    <row r="480" spans="16:19" x14ac:dyDescent="0.15">
      <c r="P480">
        <f t="shared" si="32"/>
        <v>1.2399999999999811</v>
      </c>
      <c r="Q480">
        <f t="shared" si="33"/>
        <v>-0.23999999999998112</v>
      </c>
      <c r="R480">
        <f t="shared" si="30"/>
        <v>1.0034982804095999E-2</v>
      </c>
      <c r="S480">
        <f t="shared" si="31"/>
        <v>1.4250839685021567E-3</v>
      </c>
    </row>
    <row r="481" spans="16:19" x14ac:dyDescent="0.15">
      <c r="P481">
        <f t="shared" si="32"/>
        <v>1.2499999999999811</v>
      </c>
      <c r="Q481">
        <f t="shared" si="33"/>
        <v>-0.24999999999998113</v>
      </c>
      <c r="R481">
        <f t="shared" si="30"/>
        <v>9.9567155334704689E-3</v>
      </c>
      <c r="S481">
        <f t="shared" si="31"/>
        <v>1.4329543077693586E-3</v>
      </c>
    </row>
    <row r="482" spans="16:19" x14ac:dyDescent="0.15">
      <c r="P482">
        <f t="shared" si="32"/>
        <v>1.2599999999999811</v>
      </c>
      <c r="Q482">
        <f t="shared" si="33"/>
        <v>-0.25999999999998114</v>
      </c>
      <c r="R482">
        <f t="shared" si="30"/>
        <v>9.8784482628449383E-3</v>
      </c>
      <c r="S482">
        <f t="shared" si="31"/>
        <v>1.4411458853739968E-3</v>
      </c>
    </row>
    <row r="483" spans="16:19" x14ac:dyDescent="0.15">
      <c r="P483">
        <f t="shared" si="32"/>
        <v>1.2699999999999811</v>
      </c>
      <c r="Q483">
        <f t="shared" si="33"/>
        <v>-0.26999999999998114</v>
      </c>
      <c r="R483">
        <f t="shared" si="30"/>
        <v>9.8001809922194094E-3</v>
      </c>
      <c r="S483">
        <f t="shared" si="31"/>
        <v>1.449658701316072E-3</v>
      </c>
    </row>
    <row r="484" spans="16:19" x14ac:dyDescent="0.15">
      <c r="P484">
        <f t="shared" si="32"/>
        <v>1.2799999999999812</v>
      </c>
      <c r="Q484">
        <f t="shared" si="33"/>
        <v>-0.27999999999998115</v>
      </c>
      <c r="R484">
        <f t="shared" si="30"/>
        <v>9.7219137215938788E-3</v>
      </c>
      <c r="S484">
        <f t="shared" si="31"/>
        <v>1.4584927555955844E-3</v>
      </c>
    </row>
    <row r="485" spans="16:19" x14ac:dyDescent="0.15">
      <c r="P485">
        <f t="shared" si="32"/>
        <v>1.2899999999999812</v>
      </c>
      <c r="Q485">
        <f t="shared" si="33"/>
        <v>-0.28999999999998116</v>
      </c>
      <c r="R485">
        <f t="shared" si="30"/>
        <v>9.6436464509683482E-3</v>
      </c>
      <c r="S485">
        <f t="shared" si="31"/>
        <v>1.4676480482125338E-3</v>
      </c>
    </row>
    <row r="486" spans="16:19" x14ac:dyDescent="0.15">
      <c r="P486">
        <f t="shared" si="32"/>
        <v>1.2999999999999812</v>
      </c>
      <c r="Q486">
        <f t="shared" si="33"/>
        <v>-0.29999999999998117</v>
      </c>
      <c r="R486">
        <f t="shared" si="30"/>
        <v>9.5653791803428177E-3</v>
      </c>
      <c r="S486">
        <f t="shared" si="31"/>
        <v>1.4771245791669195E-3</v>
      </c>
    </row>
    <row r="487" spans="16:19" x14ac:dyDescent="0.15">
      <c r="P487">
        <f t="shared" si="32"/>
        <v>1.3099999999999812</v>
      </c>
      <c r="Q487">
        <f t="shared" si="33"/>
        <v>-0.30999999999998118</v>
      </c>
      <c r="R487">
        <f t="shared" si="30"/>
        <v>9.4871119097172871E-3</v>
      </c>
      <c r="S487">
        <f t="shared" si="31"/>
        <v>1.4869223484587422E-3</v>
      </c>
    </row>
    <row r="488" spans="16:19" x14ac:dyDescent="0.15">
      <c r="P488">
        <f t="shared" si="32"/>
        <v>1.3199999999999812</v>
      </c>
      <c r="Q488">
        <f t="shared" si="33"/>
        <v>-0.31999999999998119</v>
      </c>
      <c r="R488">
        <f t="shared" si="30"/>
        <v>9.4088446390917565E-3</v>
      </c>
      <c r="S488">
        <f t="shared" si="31"/>
        <v>1.4970413560880021E-3</v>
      </c>
    </row>
    <row r="489" spans="16:19" x14ac:dyDescent="0.15">
      <c r="P489">
        <f t="shared" si="32"/>
        <v>1.3299999999999812</v>
      </c>
      <c r="Q489">
        <f t="shared" si="33"/>
        <v>-0.3299999999999812</v>
      </c>
      <c r="R489">
        <f t="shared" si="30"/>
        <v>9.3305773684662276E-3</v>
      </c>
      <c r="S489">
        <f t="shared" si="31"/>
        <v>1.5074816020546984E-3</v>
      </c>
    </row>
    <row r="490" spans="16:19" x14ac:dyDescent="0.15">
      <c r="P490">
        <f t="shared" si="32"/>
        <v>1.3399999999999812</v>
      </c>
      <c r="Q490">
        <f t="shared" si="33"/>
        <v>-0.33999999999998121</v>
      </c>
      <c r="R490">
        <f t="shared" si="30"/>
        <v>9.2523100978406971E-3</v>
      </c>
      <c r="S490">
        <f t="shared" si="31"/>
        <v>1.518243086358832E-3</v>
      </c>
    </row>
    <row r="491" spans="16:19" x14ac:dyDescent="0.15">
      <c r="P491">
        <f t="shared" si="32"/>
        <v>1.3499999999999812</v>
      </c>
      <c r="Q491">
        <f t="shared" si="33"/>
        <v>-0.34999999999998122</v>
      </c>
      <c r="R491">
        <f t="shared" si="30"/>
        <v>9.1740428272151682E-3</v>
      </c>
      <c r="S491">
        <f t="shared" si="31"/>
        <v>1.5293258090004018E-3</v>
      </c>
    </row>
    <row r="492" spans="16:19" x14ac:dyDescent="0.15">
      <c r="P492">
        <f t="shared" si="32"/>
        <v>1.3599999999999812</v>
      </c>
      <c r="Q492">
        <f t="shared" si="33"/>
        <v>-0.35999999999998122</v>
      </c>
      <c r="R492">
        <f t="shared" si="30"/>
        <v>9.0957755565896359E-3</v>
      </c>
      <c r="S492">
        <f t="shared" si="31"/>
        <v>1.5407297699794084E-3</v>
      </c>
    </row>
    <row r="493" spans="16:19" x14ac:dyDescent="0.15">
      <c r="P493">
        <f t="shared" si="32"/>
        <v>1.3699999999999812</v>
      </c>
      <c r="Q493">
        <f t="shared" si="33"/>
        <v>-0.36999999999998123</v>
      </c>
      <c r="R493">
        <f t="shared" si="30"/>
        <v>9.017508285964107E-3</v>
      </c>
      <c r="S493">
        <f t="shared" si="31"/>
        <v>1.5524549692958523E-3</v>
      </c>
    </row>
    <row r="494" spans="16:19" x14ac:dyDescent="0.15">
      <c r="P494">
        <f t="shared" si="32"/>
        <v>1.3799999999999812</v>
      </c>
      <c r="Q494">
        <f t="shared" si="33"/>
        <v>-0.37999999999998124</v>
      </c>
      <c r="R494">
        <f t="shared" si="30"/>
        <v>8.9392410153385747E-3</v>
      </c>
      <c r="S494">
        <f t="shared" si="31"/>
        <v>1.5645014069497329E-3</v>
      </c>
    </row>
    <row r="495" spans="16:19" x14ac:dyDescent="0.15">
      <c r="P495">
        <f t="shared" si="32"/>
        <v>1.3899999999999813</v>
      </c>
      <c r="Q495">
        <f t="shared" si="33"/>
        <v>-0.38999999999998125</v>
      </c>
      <c r="R495">
        <f t="shared" si="30"/>
        <v>8.8609737447130459E-3</v>
      </c>
      <c r="S495">
        <f t="shared" si="31"/>
        <v>1.5768690829410508E-3</v>
      </c>
    </row>
    <row r="496" spans="16:19" x14ac:dyDescent="0.15">
      <c r="P496">
        <f t="shared" si="32"/>
        <v>1.3999999999999813</v>
      </c>
      <c r="Q496">
        <f t="shared" si="33"/>
        <v>-0.39999999999998126</v>
      </c>
      <c r="R496">
        <f t="shared" si="30"/>
        <v>8.7827064740875135E-3</v>
      </c>
      <c r="S496">
        <f t="shared" si="31"/>
        <v>1.5895579972698046E-3</v>
      </c>
    </row>
    <row r="497" spans="16:19" x14ac:dyDescent="0.15">
      <c r="P497">
        <f t="shared" si="32"/>
        <v>1.4099999999999813</v>
      </c>
      <c r="Q497">
        <f t="shared" si="33"/>
        <v>-0.40999999999998127</v>
      </c>
      <c r="R497">
        <f t="shared" si="30"/>
        <v>8.7044392034619847E-3</v>
      </c>
      <c r="S497">
        <f t="shared" si="31"/>
        <v>1.6025681499359961E-3</v>
      </c>
    </row>
    <row r="498" spans="16:19" x14ac:dyDescent="0.15">
      <c r="P498">
        <f t="shared" si="32"/>
        <v>1.4199999999999813</v>
      </c>
      <c r="Q498">
        <f t="shared" si="33"/>
        <v>-0.41999999999998128</v>
      </c>
      <c r="R498">
        <f t="shared" si="30"/>
        <v>8.6261719328364558E-3</v>
      </c>
      <c r="S498">
        <f t="shared" si="31"/>
        <v>1.6158995409396235E-3</v>
      </c>
    </row>
    <row r="499" spans="16:19" x14ac:dyDescent="0.15">
      <c r="P499">
        <f t="shared" si="32"/>
        <v>1.4299999999999813</v>
      </c>
      <c r="Q499">
        <f t="shared" si="33"/>
        <v>-0.42999999999998129</v>
      </c>
      <c r="R499">
        <f t="shared" si="30"/>
        <v>8.5479046622109235E-3</v>
      </c>
      <c r="S499">
        <f t="shared" si="31"/>
        <v>1.6295521702806885E-3</v>
      </c>
    </row>
    <row r="500" spans="16:19" x14ac:dyDescent="0.15">
      <c r="P500">
        <f t="shared" si="32"/>
        <v>1.4399999999999813</v>
      </c>
      <c r="Q500">
        <f t="shared" si="33"/>
        <v>-0.43999999999998129</v>
      </c>
      <c r="R500">
        <f t="shared" si="30"/>
        <v>8.4696373915853947E-3</v>
      </c>
      <c r="S500">
        <f t="shared" si="31"/>
        <v>1.6435260379591904E-3</v>
      </c>
    </row>
    <row r="501" spans="16:19" x14ac:dyDescent="0.15">
      <c r="P501">
        <f t="shared" si="32"/>
        <v>1.4499999999999813</v>
      </c>
      <c r="Q501">
        <f t="shared" si="33"/>
        <v>-0.4499999999999813</v>
      </c>
      <c r="R501">
        <f t="shared" si="30"/>
        <v>8.3913701209598623E-3</v>
      </c>
      <c r="S501">
        <f t="shared" si="31"/>
        <v>1.6578211439751288E-3</v>
      </c>
    </row>
    <row r="502" spans="16:19" x14ac:dyDescent="0.15">
      <c r="P502">
        <f t="shared" si="32"/>
        <v>1.4599999999999813</v>
      </c>
      <c r="Q502">
        <f t="shared" si="33"/>
        <v>-0.45999999999998131</v>
      </c>
      <c r="R502">
        <f t="shared" si="30"/>
        <v>8.3131028503343335E-3</v>
      </c>
      <c r="S502">
        <f t="shared" si="31"/>
        <v>1.6724374883285041E-3</v>
      </c>
    </row>
    <row r="503" spans="16:19" x14ac:dyDescent="0.15">
      <c r="P503">
        <f t="shared" si="32"/>
        <v>1.4699999999999813</v>
      </c>
      <c r="Q503">
        <f t="shared" si="33"/>
        <v>-0.46999999999998132</v>
      </c>
      <c r="R503">
        <f t="shared" si="30"/>
        <v>8.2348355797088012E-3</v>
      </c>
      <c r="S503">
        <f t="shared" si="31"/>
        <v>1.6873750710193159E-3</v>
      </c>
    </row>
    <row r="504" spans="16:19" x14ac:dyDescent="0.15">
      <c r="P504">
        <f t="shared" si="32"/>
        <v>1.4799999999999813</v>
      </c>
      <c r="Q504">
        <f t="shared" si="33"/>
        <v>-0.47999999999998133</v>
      </c>
      <c r="R504">
        <f t="shared" si="30"/>
        <v>8.1565683090832723E-3</v>
      </c>
      <c r="S504">
        <f t="shared" si="31"/>
        <v>1.702633892047565E-3</v>
      </c>
    </row>
    <row r="505" spans="16:19" x14ac:dyDescent="0.15">
      <c r="P505">
        <f t="shared" si="32"/>
        <v>1.4899999999999813</v>
      </c>
      <c r="Q505">
        <f t="shared" si="33"/>
        <v>-0.48999999999998134</v>
      </c>
      <c r="R505">
        <f t="shared" ref="R505:R556" si="34">P505*$L$55+Q505*$N$55</f>
        <v>8.07830103845774E-3</v>
      </c>
      <c r="S505">
        <f t="shared" ref="S505:S556" si="35">P505^2*$L$56+Q505^2*$N$56+2*P505*Q505*$L$60</f>
        <v>1.7182139514132508E-3</v>
      </c>
    </row>
    <row r="506" spans="16:19" x14ac:dyDescent="0.15">
      <c r="P506">
        <f t="shared" ref="P506:P556" si="36">P505+0.01</f>
        <v>1.4999999999999813</v>
      </c>
      <c r="Q506">
        <f t="shared" ref="Q506:Q556" si="37">1-P506</f>
        <v>-0.49999999999998135</v>
      </c>
      <c r="R506">
        <f t="shared" si="34"/>
        <v>8.0000337678322112E-3</v>
      </c>
      <c r="S506">
        <f t="shared" si="35"/>
        <v>1.734115249116373E-3</v>
      </c>
    </row>
    <row r="507" spans="16:19" x14ac:dyDescent="0.15">
      <c r="P507">
        <f t="shared" si="36"/>
        <v>1.5099999999999814</v>
      </c>
      <c r="Q507">
        <f t="shared" si="37"/>
        <v>-0.50999999999998136</v>
      </c>
      <c r="R507">
        <f t="shared" si="34"/>
        <v>7.9217664972066823E-3</v>
      </c>
      <c r="S507">
        <f t="shared" si="35"/>
        <v>1.7503377851569323E-3</v>
      </c>
    </row>
    <row r="508" spans="16:19" x14ac:dyDescent="0.15">
      <c r="P508">
        <f t="shared" si="36"/>
        <v>1.5199999999999814</v>
      </c>
      <c r="Q508">
        <f t="shared" si="37"/>
        <v>-0.51999999999998137</v>
      </c>
      <c r="R508">
        <f t="shared" si="34"/>
        <v>7.84349922658115E-3</v>
      </c>
      <c r="S508">
        <f t="shared" si="35"/>
        <v>1.7668815595349285E-3</v>
      </c>
    </row>
    <row r="509" spans="16:19" x14ac:dyDescent="0.15">
      <c r="P509">
        <f t="shared" si="36"/>
        <v>1.5299999999999814</v>
      </c>
      <c r="Q509">
        <f t="shared" si="37"/>
        <v>-0.52999999999998137</v>
      </c>
      <c r="R509">
        <f t="shared" si="34"/>
        <v>7.7652319559556211E-3</v>
      </c>
      <c r="S509">
        <f t="shared" si="35"/>
        <v>1.7837465722503622E-3</v>
      </c>
    </row>
    <row r="510" spans="16:19" x14ac:dyDescent="0.15">
      <c r="P510">
        <f t="shared" si="36"/>
        <v>1.5399999999999814</v>
      </c>
      <c r="Q510">
        <f t="shared" si="37"/>
        <v>-0.53999999999998138</v>
      </c>
      <c r="R510">
        <f t="shared" si="34"/>
        <v>7.6869646853300888E-3</v>
      </c>
      <c r="S510">
        <f t="shared" si="35"/>
        <v>1.8009328233032319E-3</v>
      </c>
    </row>
    <row r="511" spans="16:19" x14ac:dyDescent="0.15">
      <c r="P511">
        <f t="shared" si="36"/>
        <v>1.5499999999999814</v>
      </c>
      <c r="Q511">
        <f t="shared" si="37"/>
        <v>-0.54999999999998139</v>
      </c>
      <c r="R511">
        <f t="shared" si="34"/>
        <v>7.6086974147045617E-3</v>
      </c>
      <c r="S511">
        <f t="shared" si="35"/>
        <v>1.8184403126935379E-3</v>
      </c>
    </row>
    <row r="512" spans="16:19" x14ac:dyDescent="0.15">
      <c r="P512">
        <f t="shared" si="36"/>
        <v>1.5599999999999814</v>
      </c>
      <c r="Q512">
        <f t="shared" si="37"/>
        <v>-0.5599999999999814</v>
      </c>
      <c r="R512">
        <f t="shared" si="34"/>
        <v>7.5304301440790294E-3</v>
      </c>
      <c r="S512">
        <f t="shared" si="35"/>
        <v>1.8362690404212828E-3</v>
      </c>
    </row>
    <row r="513" spans="16:19" x14ac:dyDescent="0.15">
      <c r="P513">
        <f t="shared" si="36"/>
        <v>1.5699999999999814</v>
      </c>
      <c r="Q513">
        <f t="shared" si="37"/>
        <v>-0.56999999999998141</v>
      </c>
      <c r="R513">
        <f t="shared" si="34"/>
        <v>7.4521628734535005E-3</v>
      </c>
      <c r="S513">
        <f t="shared" si="35"/>
        <v>1.8544190064864619E-3</v>
      </c>
    </row>
    <row r="514" spans="16:19" x14ac:dyDescent="0.15">
      <c r="P514">
        <f t="shared" si="36"/>
        <v>1.5799999999999814</v>
      </c>
      <c r="Q514">
        <f t="shared" si="37"/>
        <v>-0.57999999999998142</v>
      </c>
      <c r="R514">
        <f t="shared" si="34"/>
        <v>7.3738956028279682E-3</v>
      </c>
      <c r="S514">
        <f t="shared" si="35"/>
        <v>1.8728902108890795E-3</v>
      </c>
    </row>
    <row r="515" spans="16:19" x14ac:dyDescent="0.15">
      <c r="P515">
        <f t="shared" si="36"/>
        <v>1.5899999999999814</v>
      </c>
      <c r="Q515">
        <f t="shared" si="37"/>
        <v>-0.58999999999998143</v>
      </c>
      <c r="R515">
        <f t="shared" si="34"/>
        <v>7.2956283322024394E-3</v>
      </c>
      <c r="S515">
        <f t="shared" si="35"/>
        <v>1.8916826536291339E-3</v>
      </c>
    </row>
    <row r="516" spans="16:19" x14ac:dyDescent="0.15">
      <c r="P516">
        <f t="shared" si="36"/>
        <v>1.5999999999999814</v>
      </c>
      <c r="Q516">
        <f t="shared" si="37"/>
        <v>-0.59999999999998144</v>
      </c>
      <c r="R516">
        <f t="shared" si="34"/>
        <v>7.217361061576907E-3</v>
      </c>
      <c r="S516">
        <f t="shared" si="35"/>
        <v>1.9107963347066246E-3</v>
      </c>
    </row>
    <row r="517" spans="16:19" x14ac:dyDescent="0.15">
      <c r="P517">
        <f t="shared" si="36"/>
        <v>1.6099999999999814</v>
      </c>
      <c r="Q517">
        <f t="shared" si="37"/>
        <v>-0.60999999999998145</v>
      </c>
      <c r="R517">
        <f t="shared" si="34"/>
        <v>7.1390937909513782E-3</v>
      </c>
      <c r="S517">
        <f t="shared" si="35"/>
        <v>1.9302312541215529E-3</v>
      </c>
    </row>
    <row r="518" spans="16:19" x14ac:dyDescent="0.15">
      <c r="P518">
        <f t="shared" si="36"/>
        <v>1.6199999999999815</v>
      </c>
      <c r="Q518">
        <f t="shared" si="37"/>
        <v>-0.61999999999998145</v>
      </c>
      <c r="R518">
        <f t="shared" si="34"/>
        <v>7.0608265203258493E-3</v>
      </c>
      <c r="S518">
        <f t="shared" si="35"/>
        <v>1.9499874118739176E-3</v>
      </c>
    </row>
    <row r="519" spans="16:19" x14ac:dyDescent="0.15">
      <c r="P519">
        <f t="shared" si="36"/>
        <v>1.6299999999999815</v>
      </c>
      <c r="Q519">
        <f t="shared" si="37"/>
        <v>-0.62999999999998146</v>
      </c>
      <c r="R519">
        <f t="shared" si="34"/>
        <v>6.982559249700317E-3</v>
      </c>
      <c r="S519">
        <f t="shared" si="35"/>
        <v>1.9700648079637182E-3</v>
      </c>
    </row>
    <row r="520" spans="16:19" x14ac:dyDescent="0.15">
      <c r="P520">
        <f t="shared" si="36"/>
        <v>1.6399999999999815</v>
      </c>
      <c r="Q520">
        <f t="shared" si="37"/>
        <v>-0.63999999999998147</v>
      </c>
      <c r="R520">
        <f t="shared" si="34"/>
        <v>6.9042919790747882E-3</v>
      </c>
      <c r="S520">
        <f t="shared" si="35"/>
        <v>1.9904634423909564E-3</v>
      </c>
    </row>
    <row r="521" spans="16:19" x14ac:dyDescent="0.15">
      <c r="P521">
        <f t="shared" si="36"/>
        <v>1.6499999999999815</v>
      </c>
      <c r="Q521">
        <f t="shared" si="37"/>
        <v>-0.64999999999998148</v>
      </c>
      <c r="R521">
        <f t="shared" si="34"/>
        <v>6.8260247084492558E-3</v>
      </c>
      <c r="S521">
        <f t="shared" si="35"/>
        <v>2.0111833151556322E-3</v>
      </c>
    </row>
    <row r="522" spans="16:19" x14ac:dyDescent="0.15">
      <c r="P522">
        <f t="shared" si="36"/>
        <v>1.6599999999999815</v>
      </c>
      <c r="Q522">
        <f t="shared" si="37"/>
        <v>-0.65999999999998149</v>
      </c>
      <c r="R522">
        <f t="shared" si="34"/>
        <v>6.747757437823727E-3</v>
      </c>
      <c r="S522">
        <f t="shared" si="35"/>
        <v>2.032224426257744E-3</v>
      </c>
    </row>
    <row r="523" spans="16:19" x14ac:dyDescent="0.15">
      <c r="P523">
        <f t="shared" si="36"/>
        <v>1.6699999999999815</v>
      </c>
      <c r="Q523">
        <f t="shared" si="37"/>
        <v>-0.6699999999999815</v>
      </c>
      <c r="R523">
        <f t="shared" si="34"/>
        <v>6.6694901671981947E-3</v>
      </c>
      <c r="S523">
        <f t="shared" si="35"/>
        <v>2.0535867756972925E-3</v>
      </c>
    </row>
    <row r="524" spans="16:19" x14ac:dyDescent="0.15">
      <c r="P524">
        <f t="shared" si="36"/>
        <v>1.6799999999999815</v>
      </c>
      <c r="Q524">
        <f t="shared" si="37"/>
        <v>-0.67999999999998151</v>
      </c>
      <c r="R524">
        <f t="shared" si="34"/>
        <v>6.5912228965726658E-3</v>
      </c>
      <c r="S524">
        <f t="shared" si="35"/>
        <v>2.0752703634742786E-3</v>
      </c>
    </row>
    <row r="525" spans="16:19" x14ac:dyDescent="0.15">
      <c r="P525">
        <f t="shared" si="36"/>
        <v>1.6899999999999815</v>
      </c>
      <c r="Q525">
        <f t="shared" si="37"/>
        <v>-0.68999999999998152</v>
      </c>
      <c r="R525">
        <f t="shared" si="34"/>
        <v>6.5129556259471335E-3</v>
      </c>
      <c r="S525">
        <f t="shared" si="35"/>
        <v>2.0972751895887002E-3</v>
      </c>
    </row>
    <row r="526" spans="16:19" x14ac:dyDescent="0.15">
      <c r="P526">
        <f t="shared" si="36"/>
        <v>1.6999999999999815</v>
      </c>
      <c r="Q526">
        <f t="shared" si="37"/>
        <v>-0.69999999999998153</v>
      </c>
      <c r="R526">
        <f t="shared" si="34"/>
        <v>6.4346883553216046E-3</v>
      </c>
      <c r="S526">
        <f t="shared" si="35"/>
        <v>2.119601254040559E-3</v>
      </c>
    </row>
    <row r="527" spans="16:19" x14ac:dyDescent="0.15">
      <c r="P527">
        <f t="shared" si="36"/>
        <v>1.7099999999999815</v>
      </c>
      <c r="Q527">
        <f t="shared" si="37"/>
        <v>-0.70999999999998153</v>
      </c>
      <c r="R527">
        <f t="shared" si="34"/>
        <v>6.3564210846960758E-3</v>
      </c>
      <c r="S527">
        <f t="shared" si="35"/>
        <v>2.1422485568298559E-3</v>
      </c>
    </row>
    <row r="528" spans="16:19" x14ac:dyDescent="0.15">
      <c r="P528">
        <f t="shared" si="36"/>
        <v>1.7199999999999815</v>
      </c>
      <c r="Q528">
        <f t="shared" si="37"/>
        <v>-0.71999999999998154</v>
      </c>
      <c r="R528">
        <f t="shared" si="34"/>
        <v>6.2781538140705452E-3</v>
      </c>
      <c r="S528">
        <f t="shared" si="35"/>
        <v>2.1652170979565887E-3</v>
      </c>
    </row>
    <row r="529" spans="16:19" x14ac:dyDescent="0.15">
      <c r="P529">
        <f t="shared" si="36"/>
        <v>1.7299999999999816</v>
      </c>
      <c r="Q529">
        <f t="shared" si="37"/>
        <v>-0.72999999999998155</v>
      </c>
      <c r="R529">
        <f t="shared" si="34"/>
        <v>6.1998865434450164E-3</v>
      </c>
      <c r="S529">
        <f t="shared" si="35"/>
        <v>2.1885068774207574E-3</v>
      </c>
    </row>
    <row r="530" spans="16:19" x14ac:dyDescent="0.15">
      <c r="P530">
        <f t="shared" si="36"/>
        <v>1.7399999999999816</v>
      </c>
      <c r="Q530">
        <f t="shared" si="37"/>
        <v>-0.73999999999998156</v>
      </c>
      <c r="R530">
        <f t="shared" si="34"/>
        <v>6.121619272819484E-3</v>
      </c>
      <c r="S530">
        <f t="shared" si="35"/>
        <v>2.2121178952223641E-3</v>
      </c>
    </row>
    <row r="531" spans="16:19" x14ac:dyDescent="0.15">
      <c r="P531">
        <f t="shared" si="36"/>
        <v>1.7499999999999816</v>
      </c>
      <c r="Q531">
        <f t="shared" si="37"/>
        <v>-0.74999999999998157</v>
      </c>
      <c r="R531">
        <f t="shared" si="34"/>
        <v>6.0433520021939552E-3</v>
      </c>
      <c r="S531">
        <f t="shared" si="35"/>
        <v>2.2360501513614081E-3</v>
      </c>
    </row>
    <row r="532" spans="16:19" x14ac:dyDescent="0.15">
      <c r="P532">
        <f t="shared" si="36"/>
        <v>1.7599999999999816</v>
      </c>
      <c r="Q532">
        <f t="shared" si="37"/>
        <v>-0.75999999999998158</v>
      </c>
      <c r="R532">
        <f t="shared" si="34"/>
        <v>5.9650847315684229E-3</v>
      </c>
      <c r="S532">
        <f t="shared" si="35"/>
        <v>2.2603036458378888E-3</v>
      </c>
    </row>
    <row r="533" spans="16:19" x14ac:dyDescent="0.15">
      <c r="P533">
        <f t="shared" si="36"/>
        <v>1.7699999999999816</v>
      </c>
      <c r="Q533">
        <f t="shared" si="37"/>
        <v>-0.76999999999998159</v>
      </c>
      <c r="R533">
        <f t="shared" si="34"/>
        <v>5.886817460942894E-3</v>
      </c>
      <c r="S533">
        <f t="shared" si="35"/>
        <v>2.2848783786518058E-3</v>
      </c>
    </row>
    <row r="534" spans="16:19" x14ac:dyDescent="0.15">
      <c r="P534">
        <f t="shared" si="36"/>
        <v>1.7799999999999816</v>
      </c>
      <c r="Q534">
        <f t="shared" si="37"/>
        <v>-0.7799999999999816</v>
      </c>
      <c r="R534">
        <f t="shared" si="34"/>
        <v>5.8085501903173617E-3</v>
      </c>
      <c r="S534">
        <f t="shared" si="35"/>
        <v>2.3097743498031592E-3</v>
      </c>
    </row>
    <row r="535" spans="16:19" x14ac:dyDescent="0.15">
      <c r="P535">
        <f t="shared" si="36"/>
        <v>1.7899999999999816</v>
      </c>
      <c r="Q535">
        <f t="shared" si="37"/>
        <v>-0.78999999999998161</v>
      </c>
      <c r="R535">
        <f t="shared" si="34"/>
        <v>5.7302829196918328E-3</v>
      </c>
      <c r="S535">
        <f t="shared" si="35"/>
        <v>2.3349915592919494E-3</v>
      </c>
    </row>
    <row r="536" spans="16:19" x14ac:dyDescent="0.15">
      <c r="P536">
        <f t="shared" si="36"/>
        <v>1.7999999999999816</v>
      </c>
      <c r="Q536">
        <f t="shared" si="37"/>
        <v>-0.79999999999998161</v>
      </c>
      <c r="R536">
        <f t="shared" si="34"/>
        <v>5.6520156490663005E-3</v>
      </c>
      <c r="S536">
        <f t="shared" si="35"/>
        <v>2.3605300071181771E-3</v>
      </c>
    </row>
    <row r="537" spans="16:19" x14ac:dyDescent="0.15">
      <c r="P537">
        <f t="shared" si="36"/>
        <v>1.8099999999999816</v>
      </c>
      <c r="Q537">
        <f t="shared" si="37"/>
        <v>-0.80999999999998162</v>
      </c>
      <c r="R537">
        <f t="shared" si="34"/>
        <v>5.5737483784407717E-3</v>
      </c>
      <c r="S537">
        <f t="shared" si="35"/>
        <v>2.3863896932818417E-3</v>
      </c>
    </row>
    <row r="538" spans="16:19" x14ac:dyDescent="0.15">
      <c r="P538">
        <f t="shared" si="36"/>
        <v>1.8199999999999816</v>
      </c>
      <c r="Q538">
        <f t="shared" si="37"/>
        <v>-0.81999999999998163</v>
      </c>
      <c r="R538">
        <f t="shared" si="34"/>
        <v>5.4954811078152428E-3</v>
      </c>
      <c r="S538">
        <f t="shared" si="35"/>
        <v>2.412570617782943E-3</v>
      </c>
    </row>
    <row r="539" spans="16:19" x14ac:dyDescent="0.15">
      <c r="P539">
        <f t="shared" si="36"/>
        <v>1.8299999999999816</v>
      </c>
      <c r="Q539">
        <f t="shared" si="37"/>
        <v>-0.82999999999998164</v>
      </c>
      <c r="R539">
        <f t="shared" si="34"/>
        <v>5.4172138371897105E-3</v>
      </c>
      <c r="S539">
        <f t="shared" si="35"/>
        <v>2.439072780621482E-3</v>
      </c>
    </row>
    <row r="540" spans="16:19" x14ac:dyDescent="0.15">
      <c r="P540">
        <f t="shared" si="36"/>
        <v>1.8399999999999817</v>
      </c>
      <c r="Q540">
        <f t="shared" si="37"/>
        <v>-0.83999999999998165</v>
      </c>
      <c r="R540">
        <f t="shared" si="34"/>
        <v>5.3389465665641817E-3</v>
      </c>
      <c r="S540">
        <f t="shared" si="35"/>
        <v>2.465896181797456E-3</v>
      </c>
    </row>
    <row r="541" spans="16:19" x14ac:dyDescent="0.15">
      <c r="P541">
        <f t="shared" si="36"/>
        <v>1.8499999999999817</v>
      </c>
      <c r="Q541">
        <f t="shared" si="37"/>
        <v>-0.84999999999998166</v>
      </c>
      <c r="R541">
        <f t="shared" si="34"/>
        <v>5.2606792959386493E-3</v>
      </c>
      <c r="S541">
        <f t="shared" si="35"/>
        <v>2.4930408213108676E-3</v>
      </c>
    </row>
    <row r="542" spans="16:19" x14ac:dyDescent="0.15">
      <c r="P542">
        <f t="shared" si="36"/>
        <v>1.8599999999999817</v>
      </c>
      <c r="Q542">
        <f t="shared" si="37"/>
        <v>-0.85999999999998167</v>
      </c>
      <c r="R542">
        <f t="shared" si="34"/>
        <v>5.1824120253131205E-3</v>
      </c>
      <c r="S542">
        <f t="shared" si="35"/>
        <v>2.520506699161716E-3</v>
      </c>
    </row>
    <row r="543" spans="16:19" x14ac:dyDescent="0.15">
      <c r="P543">
        <f t="shared" si="36"/>
        <v>1.8699999999999817</v>
      </c>
      <c r="Q543">
        <f t="shared" si="37"/>
        <v>-0.86999999999998168</v>
      </c>
      <c r="R543">
        <f t="shared" si="34"/>
        <v>5.1041447546875882E-3</v>
      </c>
      <c r="S543">
        <f t="shared" si="35"/>
        <v>2.548293815350002E-3</v>
      </c>
    </row>
    <row r="544" spans="16:19" x14ac:dyDescent="0.15">
      <c r="P544">
        <f t="shared" si="36"/>
        <v>1.8799999999999817</v>
      </c>
      <c r="Q544">
        <f t="shared" si="37"/>
        <v>-0.87999999999998169</v>
      </c>
      <c r="R544">
        <f t="shared" si="34"/>
        <v>5.0258774840620593E-3</v>
      </c>
      <c r="S544">
        <f t="shared" si="35"/>
        <v>2.5764021698757231E-3</v>
      </c>
    </row>
    <row r="545" spans="16:19" x14ac:dyDescent="0.15">
      <c r="P545">
        <f t="shared" si="36"/>
        <v>1.8899999999999817</v>
      </c>
      <c r="Q545">
        <f t="shared" si="37"/>
        <v>-0.88999999999998169</v>
      </c>
      <c r="R545">
        <f t="shared" si="34"/>
        <v>4.947610213436527E-3</v>
      </c>
      <c r="S545">
        <f t="shared" si="35"/>
        <v>2.6048317627388835E-3</v>
      </c>
    </row>
    <row r="546" spans="16:19" x14ac:dyDescent="0.15">
      <c r="P546">
        <f t="shared" si="36"/>
        <v>1.8999999999999817</v>
      </c>
      <c r="Q546">
        <f t="shared" si="37"/>
        <v>-0.8999999999999817</v>
      </c>
      <c r="R546">
        <f t="shared" si="34"/>
        <v>4.8693429428109981E-3</v>
      </c>
      <c r="S546">
        <f t="shared" si="35"/>
        <v>2.633582593939479E-3</v>
      </c>
    </row>
    <row r="547" spans="16:19" x14ac:dyDescent="0.15">
      <c r="P547">
        <f t="shared" si="36"/>
        <v>1.9099999999999817</v>
      </c>
      <c r="Q547">
        <f t="shared" si="37"/>
        <v>-0.90999999999998171</v>
      </c>
      <c r="R547">
        <f t="shared" si="34"/>
        <v>4.7910756721854693E-3</v>
      </c>
      <c r="S547">
        <f t="shared" si="35"/>
        <v>2.6626546634775121E-3</v>
      </c>
    </row>
    <row r="548" spans="16:19" x14ac:dyDescent="0.15">
      <c r="P548">
        <f t="shared" si="36"/>
        <v>1.9199999999999817</v>
      </c>
      <c r="Q548">
        <f t="shared" si="37"/>
        <v>-0.91999999999998172</v>
      </c>
      <c r="R548">
        <f t="shared" si="34"/>
        <v>4.712808401559937E-3</v>
      </c>
      <c r="S548">
        <f t="shared" si="35"/>
        <v>2.6920479713529819E-3</v>
      </c>
    </row>
    <row r="549" spans="16:19" x14ac:dyDescent="0.15">
      <c r="P549">
        <f t="shared" si="36"/>
        <v>1.9299999999999817</v>
      </c>
      <c r="Q549">
        <f t="shared" si="37"/>
        <v>-0.92999999999998173</v>
      </c>
      <c r="R549">
        <f t="shared" si="34"/>
        <v>4.6345411309344081E-3</v>
      </c>
      <c r="S549">
        <f t="shared" si="35"/>
        <v>2.7217625175658868E-3</v>
      </c>
    </row>
    <row r="550" spans="16:19" x14ac:dyDescent="0.15">
      <c r="P550">
        <f t="shared" si="36"/>
        <v>1.9399999999999817</v>
      </c>
      <c r="Q550">
        <f t="shared" si="37"/>
        <v>-0.93999999999998174</v>
      </c>
      <c r="R550">
        <f t="shared" si="34"/>
        <v>4.5562738603088758E-3</v>
      </c>
      <c r="S550">
        <f t="shared" si="35"/>
        <v>2.7517983021162311E-3</v>
      </c>
    </row>
    <row r="551" spans="16:19" x14ac:dyDescent="0.15">
      <c r="P551">
        <f t="shared" si="36"/>
        <v>1.9499999999999817</v>
      </c>
      <c r="Q551">
        <f t="shared" si="37"/>
        <v>-0.94999999999998175</v>
      </c>
      <c r="R551">
        <f t="shared" si="34"/>
        <v>4.4780065896833469E-3</v>
      </c>
      <c r="S551">
        <f t="shared" si="35"/>
        <v>2.7821553250040112E-3</v>
      </c>
    </row>
    <row r="552" spans="16:19" x14ac:dyDescent="0.15">
      <c r="P552">
        <f t="shared" si="36"/>
        <v>1.9599999999999818</v>
      </c>
      <c r="Q552">
        <f t="shared" si="37"/>
        <v>-0.95999999999998176</v>
      </c>
      <c r="R552">
        <f t="shared" si="34"/>
        <v>4.3997393190578146E-3</v>
      </c>
      <c r="S552">
        <f t="shared" si="35"/>
        <v>2.8128335862292282E-3</v>
      </c>
    </row>
    <row r="553" spans="16:19" x14ac:dyDescent="0.15">
      <c r="P553">
        <f t="shared" si="36"/>
        <v>1.9699999999999818</v>
      </c>
      <c r="Q553">
        <f t="shared" si="37"/>
        <v>-0.96999999999998177</v>
      </c>
      <c r="R553">
        <f t="shared" si="34"/>
        <v>4.3214720484322892E-3</v>
      </c>
      <c r="S553">
        <f t="shared" si="35"/>
        <v>2.8438330857918819E-3</v>
      </c>
    </row>
    <row r="554" spans="16:19" x14ac:dyDescent="0.15">
      <c r="P554">
        <f t="shared" si="36"/>
        <v>1.9799999999999818</v>
      </c>
      <c r="Q554">
        <f t="shared" si="37"/>
        <v>-0.97999999999998177</v>
      </c>
      <c r="R554">
        <f t="shared" si="34"/>
        <v>4.2432047778067569E-3</v>
      </c>
      <c r="S554">
        <f t="shared" si="35"/>
        <v>2.8751538236919715E-3</v>
      </c>
    </row>
    <row r="555" spans="16:19" x14ac:dyDescent="0.15">
      <c r="P555">
        <f t="shared" si="36"/>
        <v>1.9899999999999818</v>
      </c>
      <c r="Q555">
        <f t="shared" si="37"/>
        <v>-0.98999999999998178</v>
      </c>
      <c r="R555">
        <f t="shared" si="34"/>
        <v>4.1649375071812281E-3</v>
      </c>
      <c r="S555">
        <f t="shared" si="35"/>
        <v>2.9067957999294987E-3</v>
      </c>
    </row>
    <row r="556" spans="16:19" x14ac:dyDescent="0.15">
      <c r="P556">
        <f t="shared" si="36"/>
        <v>1.9999999999999818</v>
      </c>
      <c r="Q556">
        <f t="shared" si="37"/>
        <v>-0.99999999999998179</v>
      </c>
      <c r="R556">
        <f t="shared" si="34"/>
        <v>4.0866702365556958E-3</v>
      </c>
      <c r="S556">
        <f t="shared" si="35"/>
        <v>2.9387590145044627E-3</v>
      </c>
    </row>
  </sheetData>
  <mergeCells count="6">
    <mergeCell ref="K35:L35"/>
    <mergeCell ref="K45:L45"/>
    <mergeCell ref="M45:N45"/>
    <mergeCell ref="J1:Q1"/>
    <mergeCell ref="J6:Q6"/>
    <mergeCell ref="J16:Q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Industries_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A. Hassan</dc:creator>
  <cp:lastModifiedBy>Weng Lam Chu</cp:lastModifiedBy>
  <cp:lastPrinted>2004-02-02T23:12:12Z</cp:lastPrinted>
  <dcterms:created xsi:type="dcterms:W3CDTF">1998-09-16T16:43:35Z</dcterms:created>
  <dcterms:modified xsi:type="dcterms:W3CDTF">2026-03-28T19:40:24Z</dcterms:modified>
</cp:coreProperties>
</file>